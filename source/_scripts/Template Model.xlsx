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roberttooley/Inspection_Intel/Model Template/"/>
    </mc:Choice>
  </mc:AlternateContent>
  <xr:revisionPtr revIDLastSave="0" documentId="13_ncr:1_{2A4FC999-C7A3-DB4C-9DB6-77FEE71E2EBA}" xr6:coauthVersionLast="47" xr6:coauthVersionMax="47" xr10:uidLastSave="{00000000-0000-0000-0000-000000000000}"/>
  <bookViews>
    <workbookView xWindow="0" yWindow="600" windowWidth="36660" windowHeight="18540" tabRatio="872" firstSheet="1" activeTab="2" xr2:uid="{E627ABBD-7338-44D5-9E57-75D3B64A7EB7}"/>
  </bookViews>
  <sheets>
    <sheet name="INSTRUCTIONS" sheetId="47" r:id="rId1"/>
    <sheet name="Summary Pg" sheetId="53" r:id="rId2"/>
    <sheet name="Model" sheetId="9" r:id="rId3"/>
    <sheet name="Segment" sheetId="18" r:id="rId4"/>
    <sheet name="Debt Detail" sheetId="10" r:id="rId5"/>
    <sheet name="Notes" sheetId="13" r:id="rId6"/>
    <sheet name="Bullets" sheetId="43" r:id="rId7"/>
    <sheet name="Mgmt" sheetId="20" r:id="rId8"/>
    <sheet name="Structure" sheetId="17" r:id="rId9"/>
    <sheet name="Incur Covs" sheetId="55" r:id="rId10"/>
    <sheet name="Main Covs" sheetId="54" r:id="rId11"/>
    <sheet name="DCF" sheetId="44" r:id="rId12"/>
    <sheet name="SOP" sheetId="45" r:id="rId13"/>
    <sheet name="M&amp;A" sheetId="40" r:id="rId14"/>
    <sheet name="Geographic" sheetId="7" r:id="rId15"/>
    <sheet name="Customers" sheetId="14" r:id="rId16"/>
    <sheet name="Products" sheetId="24" r:id="rId17"/>
    <sheet name="Facilities" sheetId="19" r:id="rId18"/>
  </sheets>
  <definedNames>
    <definedName name="_CDR2">#REF!</definedName>
    <definedName name="_fcf10">#REF!</definedName>
    <definedName name="_fcf5">#REF!</definedName>
    <definedName name="_Key1" hidden="1">#REF!</definedName>
    <definedName name="_Order1" hidden="1">0</definedName>
    <definedName name="_Sort" hidden="1">#REF!</definedName>
    <definedName name="_Table2_In1" hidden="1">#REF!</definedName>
    <definedName name="_Table2_In2" hidden="1">#REF!</definedName>
    <definedName name="_Table2_Out" hidden="1">#REF!</definedName>
    <definedName name="\c">#REF!</definedName>
    <definedName name="\p">#REF!</definedName>
    <definedName name="\s">#REF!</definedName>
    <definedName name="\z">#REF!</definedName>
    <definedName name="a_oc_limit">#REF!</definedName>
    <definedName name="aaa" localSheetId="9">OFFSET(#REF!,MATCH(def_prog,#REF!,0),MATCH(LIBOR_shock,#REF!,0))</definedName>
    <definedName name="aaa">OFFSET(#REF!,MATCH(def_prog,#REF!,0),MATCH(LIBOR_shock,#REF!,0))</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sdfsadfadg">#REF!</definedName>
    <definedName name="ab" localSheetId="9" hidden="1">{#N/A,#N/A,FALSE,"PortfolioStats";#N/A,#N/A,FALSE,"Graphs";#N/A,#N/A,FALSE,"Binomial Expansion";#N/A,#N/A,FALSE,"SP Analysis"}</definedName>
    <definedName name="ab" hidden="1">{#N/A,#N/A,FALSE,"PortfolioStats";#N/A,#N/A,FALSE,"Graphs";#N/A,#N/A,FALSE,"Binomial Expansion";#N/A,#N/A,FALSE,"SP Analysis"}</definedName>
    <definedName name="AGG_PRISTINE">#REF!</definedName>
    <definedName name="AM_Base_Speed">#REF!</definedName>
    <definedName name="AM_BBG_Collat_Type">#REF!</definedName>
    <definedName name="AM_BBG_Name">#REF!</definedName>
    <definedName name="AM_BBG_Rating">#REF!</definedName>
    <definedName name="AM_closeDate">#REF!</definedName>
    <definedName name="AM_Coupon_Frequency">#REF!</definedName>
    <definedName name="AM_Curr_Prin_Bal">#REF!</definedName>
    <definedName name="AM_Cusip">#REF!</definedName>
    <definedName name="AM_Factor">#REF!</definedName>
    <definedName name="AM_Fast_Scaler">#REF!</definedName>
    <definedName name="AM_Floater">#REF!</definedName>
    <definedName name="AM_In_BBG">#REF!</definedName>
    <definedName name="AM_In_Intex">#REF!</definedName>
    <definedName name="AM_InventoryName">#REF!</definedName>
    <definedName name="AM_Orig_Prin_Bal">#REF!</definedName>
    <definedName name="AM_Override">#REF!</definedName>
    <definedName name="AM_Pricing_Speed">#REF!</definedName>
    <definedName name="AM_Pricing_Speed_Unit">#REF!</definedName>
    <definedName name="AM_Rating_Agency">#REF!</definedName>
    <definedName name="AM_Refresh">#REF!</definedName>
    <definedName name="Am_Sked">#REF!</definedName>
    <definedName name="AM_Slow_Scaler">#REF!</definedName>
    <definedName name="AM_Speed_1M">#REF!</definedName>
    <definedName name="AM_Speed_1M_Unit">#REF!</definedName>
    <definedName name="AM_Speed_3M">#REF!</definedName>
    <definedName name="AM_Speed_3M_Unit">#REF!</definedName>
    <definedName name="AM_Speed_6M">#REF!</definedName>
    <definedName name="AM_Speed_6M_Unit">#REF!</definedName>
    <definedName name="AM_Speed_Unit">#REF!</definedName>
    <definedName name="AM_WH_Position">#REF!</definedName>
    <definedName name="AM_WH_Position_User">#REF!</definedName>
    <definedName name="Am.running">#REF!</definedName>
    <definedName name="amort">#REF!</definedName>
    <definedName name="Anchor_T1">#REF!</definedName>
    <definedName name="Anchor_T2">#REF!</definedName>
    <definedName name="Anchor_T3">#REF!</definedName>
    <definedName name="Annual">#REF!</definedName>
    <definedName name="as">#REF!</definedName>
    <definedName name="Asset_Swap_Toggle">#REF!</definedName>
    <definedName name="AverageLife">#REF!</definedName>
    <definedName name="AveragePar">#REF!</definedName>
    <definedName name="Avg_Life">#REF!</definedName>
    <definedName name="AvgIssuerParCurrent">#REF!</definedName>
    <definedName name="Balance_Sheet">#REF!</definedName>
    <definedName name="BaseYear">#REF!</definedName>
    <definedName name="bbbb">#REF!</definedName>
    <definedName name="BE_Output_Area">#REF!</definedName>
    <definedName name="BE_Table_Ref">#REF!</definedName>
    <definedName name="BE_Type">#REF!</definedName>
    <definedName name="BLACK">#REF!</definedName>
    <definedName name="bond.count">#REF!</definedName>
    <definedName name="Bonds_Par">"Bonds!C13:C26"</definedName>
    <definedName name="BORDERS">#REF!</definedName>
    <definedName name="brian_range">#REF!</definedName>
    <definedName name="BS_cash">#REF!</definedName>
    <definedName name="BS_commonequity">#REF!</definedName>
    <definedName name="BS_convertdebt">#REF!</definedName>
    <definedName name="BS_convertpref">#REF!</definedName>
    <definedName name="bs_date">#REF!</definedName>
    <definedName name="BS_deferredcomp">#REF!</definedName>
    <definedName name="BS_deferredtaxes">#REF!</definedName>
    <definedName name="BS_discontoper">#REF!</definedName>
    <definedName name="BS_goodwill">#REF!</definedName>
    <definedName name="BS_intangibles">#REF!</definedName>
    <definedName name="BS_inventories">#REF!</definedName>
    <definedName name="BS_minority">#REF!</definedName>
    <definedName name="BS_otherCA">#REF!</definedName>
    <definedName name="BS_otherCL">#REF!</definedName>
    <definedName name="BS_otherLTA">#REF!</definedName>
    <definedName name="BS_otherLTL">#REF!</definedName>
    <definedName name="BS_payables">#REF!</definedName>
    <definedName name="BS_PPE">#REF!</definedName>
    <definedName name="BS_receivables">#REF!</definedName>
    <definedName name="BS_revolver">#REF!</definedName>
    <definedName name="BS_straightdebt">#REF!</definedName>
    <definedName name="BS_straightpref">#REF!</definedName>
    <definedName name="CAD">#REF!</definedName>
    <definedName name="CADUSD">#REF!</definedName>
    <definedName name="Call">#REF!</definedName>
    <definedName name="Call_Cond">#REF!</definedName>
    <definedName name="Call_Cond_1_T1">#REF!</definedName>
    <definedName name="Call_Cond_1_T2">#REF!</definedName>
    <definedName name="Call_Cond_1_T3">#REF!</definedName>
    <definedName name="Call_Cond_2_T1">#REF!</definedName>
    <definedName name="Call_Cond_2_T2">#REF!</definedName>
    <definedName name="Call_Cond_2_T3">#REF!</definedName>
    <definedName name="Call_Gains">#REF!</definedName>
    <definedName name="Call_Option_T1">#REF!</definedName>
    <definedName name="Call_Option_T2">#REF!</definedName>
    <definedName name="Call_Option_T3">#REF!</definedName>
    <definedName name="Call2">#REF!</definedName>
    <definedName name="capitalisation">#REF!</definedName>
    <definedName name="case">#REF!</definedName>
    <definedName name="Cash_Flow">#REF!</definedName>
    <definedName name="cash_fv">#REF!</definedName>
    <definedName name="cash_terminal">#REF!</definedName>
    <definedName name="CDR">#REF!</definedName>
    <definedName name="CF_begcash">#REF!</definedName>
    <definedName name="CF_capex">#REF!</definedName>
    <definedName name="CF_commondiv">#REF!</definedName>
    <definedName name="CF_convertdebt">#REF!</definedName>
    <definedName name="CF_deferredtaxes">#REF!</definedName>
    <definedName name="CF_deprec">#REF!</definedName>
    <definedName name="CF_equity">#REF!</definedName>
    <definedName name="CF_gwamort">#REF!</definedName>
    <definedName name="CF_intangiblesamort">#REF!</definedName>
    <definedName name="CF_minority">#REF!</definedName>
    <definedName name="CF_netinc">#REF!</definedName>
    <definedName name="CF_NWC">#REF!</definedName>
    <definedName name="CF_othernonoper">#REF!</definedName>
    <definedName name="CF_otheroper">#REF!</definedName>
    <definedName name="CF_revolver">#REF!</definedName>
    <definedName name="CF_Select">#REF!</definedName>
    <definedName name="CF_straightdebt">#REF!</definedName>
    <definedName name="ChangeInCommonEquity">#REF!</definedName>
    <definedName name="ChangeInConvertiblePreferredStock">#REF!</definedName>
    <definedName name="ChangeInDeferredCompensation">#REF!</definedName>
    <definedName name="ChangeInStraightPreferredStock">#REF!</definedName>
    <definedName name="Check">#REF!</definedName>
    <definedName name="closing_date">#REF!</definedName>
    <definedName name="Coll_Clean_Price">#REF!</definedName>
    <definedName name="Combo1_XIRR">#REF!</definedName>
    <definedName name="Combo2_XIRR">#REF!</definedName>
    <definedName name="Combo3_XIRR">#REF!</definedName>
    <definedName name="Combo4_XIRR">#REF!</definedName>
    <definedName name="Combo5_XIRR">#REF!</definedName>
    <definedName name="Combo6_XIRR">#REF!</definedName>
    <definedName name="commondiv">#REF!</definedName>
    <definedName name="company">#REF!</definedName>
    <definedName name="con_fee_paid">#REF!</definedName>
    <definedName name="convdebtrate">#REF!</definedName>
    <definedName name="convdebtshares">#REF!</definedName>
    <definedName name="convprefrate">#REF!</definedName>
    <definedName name="convprefshares">#REF!</definedName>
    <definedName name="convpricedebt">#REF!</definedName>
    <definedName name="convpricepref">#REF!</definedName>
    <definedName name="COPY">#REF!</definedName>
    <definedName name="Corp_Expenses">#REF!</definedName>
    <definedName name="crossrates">#REF!</definedName>
    <definedName name="Cum_Def">#REF!</definedName>
    <definedName name="curr_bond">#REF!</definedName>
    <definedName name="current_per">#REF!</definedName>
    <definedName name="cvnxnzzz">#REF!</definedName>
    <definedName name="cxbc">#REF!</definedName>
    <definedName name="d">#REF!</definedName>
    <definedName name="d1_fixed">#REF!</definedName>
    <definedName name="d2_float">#REF!</definedName>
    <definedName name="DB_equity_share">#REF!</definedName>
    <definedName name="DB_funding">#REF!</definedName>
    <definedName name="dcf_year">#REF!</definedName>
    <definedName name="dcfyear">#REF!</definedName>
    <definedName name="deal_name">#REF!</definedName>
    <definedName name="dealname">#REF!</definedName>
    <definedName name="dealname2">#REF!</definedName>
    <definedName name="Debt_Expenses">#REF!</definedName>
    <definedName name="debt_fv">#REF!</definedName>
    <definedName name="debt_terminal">#REF!</definedName>
    <definedName name="def_prog">#REF!</definedName>
    <definedName name="def_rate">#REF!</definedName>
    <definedName name="Default">#REF!</definedName>
    <definedName name="Delay1">#REF!</definedName>
    <definedName name="df">#REF!</definedName>
    <definedName name="dfsdsdf">#REF!</definedName>
    <definedName name="dghfgh">#REF!</definedName>
    <definedName name="dgmgm">#REF!</definedName>
    <definedName name="dhjndhg">#REF!</definedName>
    <definedName name="disc_years">#REF!</definedName>
    <definedName name="discount_f">#REF!</definedName>
    <definedName name="Dist_T1">#REF!</definedName>
    <definedName name="Dist_T2">#REF!</definedName>
    <definedName name="Dist_T3">#REF!</definedName>
    <definedName name="diversion_inRP">#REF!</definedName>
    <definedName name="diversion_postRP">#REF!</definedName>
    <definedName name="diversion_toggle">#REF!</definedName>
    <definedName name="Diversity">#REF!</definedName>
    <definedName name="diversity_actual">#REF!</definedName>
    <definedName name="diversity_factor">#REF!</definedName>
    <definedName name="divestcash">#REF!</definedName>
    <definedName name="divestproceeds">#REF!</definedName>
    <definedName name="divestyear">#REF!</definedName>
    <definedName name="DURACAPN">#REF!</definedName>
    <definedName name="DURAFININFO">#REF!</definedName>
    <definedName name="DURASEGINFO">#REF!</definedName>
    <definedName name="Duration">#REF!</definedName>
    <definedName name="EBITDA_mult">#REF!</definedName>
    <definedName name="EBITDA_mult1">#REF!</definedName>
    <definedName name="EBITDA_mult2">#REF!</definedName>
    <definedName name="EBITDA_mult3">#REF!</definedName>
    <definedName name="EBITDA_mult4">#REF!</definedName>
    <definedName name="EBITDA_mult5">#REF!</definedName>
    <definedName name="EffectiveDateParAmount">#REF!</definedName>
    <definedName name="emgcorp_actual">#REF!</definedName>
    <definedName name="emgcorp_rule">#REF!</definedName>
    <definedName name="emgtot_target">#REF!</definedName>
    <definedName name="Eq_Mgmt_XIRR">#REF!</definedName>
    <definedName name="Equity_price">#REF!</definedName>
    <definedName name="equity_size">#REF!</definedName>
    <definedName name="Equity_XIRR">#REF!</definedName>
    <definedName name="ert">#REF!</definedName>
    <definedName name="ertertertert">#REF!</definedName>
    <definedName name="eur">#REF!</definedName>
    <definedName name="EURIBOR">#REF!</definedName>
    <definedName name="EURO">#REF!</definedName>
    <definedName name="EUROBOR">#REF!</definedName>
    <definedName name="ExcessCashrate">#REF!</definedName>
    <definedName name="fcf_lev_terminal1">#REF!</definedName>
    <definedName name="fcf_lev_terminal2">#REF!</definedName>
    <definedName name="fcf_lev_terminal3">#REF!</definedName>
    <definedName name="fcf_lev_terminal4">#REF!</definedName>
    <definedName name="fcf_lev_terminal5">#REF!</definedName>
    <definedName name="fcf_unlev">#REF!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g">#REF!</definedName>
    <definedName name="fghcv" localSheetId="9">OFFSET(#REF!,MATCH(def_prog,#REF!,0),MATCH(LIBOR_shock,#REF!,0))</definedName>
    <definedName name="fghcv">OFFSET(#REF!,MATCH(def_prog,#REF!,0),MATCH(LIBOR_shock,#REF!,0))</definedName>
    <definedName name="fghfg">#REF!</definedName>
    <definedName name="fghrthrt">#REF!</definedName>
    <definedName name="finance_debtor_days">#REF!</definedName>
    <definedName name="finance_stock_days">#REF!</definedName>
    <definedName name="finance_tax_days">#REF!</definedName>
    <definedName name="finance_tc_days">#REF!</definedName>
    <definedName name="financing_sub">#REF!</definedName>
    <definedName name="fininfo">#REF!</definedName>
    <definedName name="FIRST_CPN_DT">#REF!</definedName>
    <definedName name="fiscal_year">#REF!</definedName>
    <definedName name="FITCH_CDR">#REF!</definedName>
    <definedName name="fitch_d">#REF!</definedName>
    <definedName name="FITCH_Inputs">#REF!</definedName>
    <definedName name="FITCH_Interest_Default">#REF!</definedName>
    <definedName name="FITCH_Libor_Curve">#REF!</definedName>
    <definedName name="FITCH_Loss_Curve">#REF!</definedName>
    <definedName name="FITCH_Num_Scen">#REF!</definedName>
    <definedName name="FITCH_Output">#REF!</definedName>
    <definedName name="FITCH_Output_Table">#REF!</definedName>
    <definedName name="FITCH_Parameters">#REF!</definedName>
    <definedName name="FITCH_Principal_Default">#REF!</definedName>
    <definedName name="FITCH_Req_CDR">#REF!</definedName>
    <definedName name="FITCH_Scen_Num">#REF!</definedName>
    <definedName name="FITCH_Shortfall">#REF!</definedName>
    <definedName name="FITCH_Tranche">#REF!</definedName>
    <definedName name="FITCH_Tranches">#REF!</definedName>
    <definedName name="Five">#REF!</definedName>
    <definedName name="fixed_f">#REF!</definedName>
    <definedName name="Fixed_Mix">#REF!</definedName>
    <definedName name="float_f">#REF!</definedName>
    <definedName name="Flt_Sprd">#REF!</definedName>
    <definedName name="FOOT">#REF!</definedName>
    <definedName name="forecast">#REF!</definedName>
    <definedName name="forecasts">#REF!</definedName>
    <definedName name="forecasts1">#REF!</definedName>
    <definedName name="Four">#REF!</definedName>
    <definedName name="Four_Scens">#REF!</definedName>
    <definedName name="frequency">#REF!</definedName>
    <definedName name="fx">#REF!</definedName>
    <definedName name="fx_spot">#REF!</definedName>
    <definedName name="g">#REF!</definedName>
    <definedName name="gbfb">#REF!</definedName>
    <definedName name="GBP">#REF!</definedName>
    <definedName name="GBPLIBOR">#REF!</definedName>
    <definedName name="gerg">#REF!</definedName>
    <definedName name="gfhnghn">#REF!</definedName>
    <definedName name="gh">#REF!</definedName>
    <definedName name="GLASS">#REF!</definedName>
    <definedName name="Groups">#REF!</definedName>
    <definedName name="haircut">#REF!</definedName>
    <definedName name="hmg" localSheetId="9" hidden="1">{#N/A,#N/A,FALSE,"PortfolioStats";#N/A,#N/A,FALSE,"Graphs";#N/A,#N/A,FALSE,"Binomial Expansion";#N/A,#N/A,FALSE,"SP Analysis"}</definedName>
    <definedName name="hmg" hidden="1">{#N/A,#N/A,FALSE,"PortfolioStats";#N/A,#N/A,FALSE,"Graphs";#N/A,#N/A,FALSE,"Binomial Expansion";#N/A,#N/A,FALSE,"SP Analysis"}</definedName>
    <definedName name="Hoops_Scen">#REF!</definedName>
    <definedName name="Imbalance_at_Closing">#REF!</definedName>
    <definedName name="Income_Statement">#REF!</definedName>
    <definedName name="INDIV_PRISTINE">#REF!</definedName>
    <definedName name="IndustryClassResult">#REF!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_REUT" hidden="1">"c3843"</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FFO_DIFF_REUT" hidden="1">"c3890"</definedName>
    <definedName name="IQ_EST_FFO_DIFF_THOM" hidden="1">"c5186"</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333042</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PAYOUT_RATIO" hidden="1">"c3492"</definedName>
    <definedName name="IQ_FFO_SHARE_ACT_OR_EST" hidden="1">"c4446"</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MES_REVISION_DATE_" localSheetId="9" hidden="1">40289.3990393519</definedName>
    <definedName name="IQ_NAMES_REVISION_DATE_" localSheetId="10" hidden="1">40289.3990393519</definedName>
    <definedName name="IQ_NAMES_REVISION_DATE_" hidden="1">40213.6374074074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39744.6765393519</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rr_eq">#REF!</definedName>
    <definedName name="irr_eq_xtax">#REF!</definedName>
    <definedName name="IRRtable_ppyreinv_spr1">#REF!</definedName>
    <definedName name="IRRtable_ppyreinv_spr2">#REF!</definedName>
    <definedName name="IRRtable_ppyreinv_spr3">#REF!</definedName>
    <definedName name="IRRtable_ppyreinv1">#REF!</definedName>
    <definedName name="IRRtable_ppyreinv2">#REF!</definedName>
    <definedName name="IRRtable_ppyreinv3">#REF!</definedName>
    <definedName name="IRRtable_ppyreinv4">#REF!</definedName>
    <definedName name="IRRtable_ppyreinv6">#REF!</definedName>
    <definedName name="IRRtable_ppyreinv7">#REF!</definedName>
    <definedName name="IRRtable_Pricing1">#REF!</definedName>
    <definedName name="IRRtable_Pricing2">#REF!</definedName>
    <definedName name="IS_COGS">#REF!</definedName>
    <definedName name="IS_convprefdiv">#REF!</definedName>
    <definedName name="IS_deprec">#REF!</definedName>
    <definedName name="IS_eps">#REF!</definedName>
    <definedName name="IS_goodwill">#REF!</definedName>
    <definedName name="IS_inctaxes">#REF!</definedName>
    <definedName name="IS_intangamort">#REF!</definedName>
    <definedName name="IS_intconvert">#REF!</definedName>
    <definedName name="IS_intexisting">#REF!</definedName>
    <definedName name="IS_intincome">#REF!</definedName>
    <definedName name="IS_intrevolver">#REF!</definedName>
    <definedName name="IS_minority">#REF!</definedName>
    <definedName name="IS_othernonopexp">#REF!</definedName>
    <definedName name="IS_otheropexp">#REF!</definedName>
    <definedName name="IS_revenues">#REF!</definedName>
    <definedName name="IS_SGA">#REF!</definedName>
    <definedName name="IS_straightprefdiv">#REF!</definedName>
    <definedName name="Issuance_Amount">#REF!</definedName>
    <definedName name="Issuers">#REF!</definedName>
    <definedName name="issuerscurrent">#REF!</definedName>
    <definedName name="jmhjm">#REF!</definedName>
    <definedName name="jretrth">#REF!</definedName>
    <definedName name="Ke">#REF!</definedName>
    <definedName name="KEY">#REF!</definedName>
    <definedName name="lab_assets_CDSCounterpartyID">#REF!</definedName>
    <definedName name="lab_assets_financialGuarantorID">#REF!</definedName>
    <definedName name="lab_assets_longShort">#REF!</definedName>
    <definedName name="lab_counterparty_assetType">#REF!</definedName>
    <definedName name="lab_counterparty_counterparty">#REF!</definedName>
    <definedName name="lab_counterparty_counterpartyID">#REF!</definedName>
    <definedName name="lab_counterparty_countryCode">#REF!</definedName>
    <definedName name="lab_counterparty_soverignForeignCurrencyRating">#REF!</definedName>
    <definedName name="lab_counterparty_spCreditRating">#REF!</definedName>
    <definedName name="LC_Input_T1">#REF!</definedName>
    <definedName name="LC_Input_T2">#REF!</definedName>
    <definedName name="LC_Input_T3">#REF!</definedName>
    <definedName name="LEGEND">#REF!</definedName>
    <definedName name="lev_fcf_rate">#REF!</definedName>
    <definedName name="LIBOR">#REF!</definedName>
    <definedName name="LIBOR_Curve_Name">#REF!</definedName>
    <definedName name="LIBOR_shock">#REF!</definedName>
    <definedName name="Loan_Input">#REF!</definedName>
    <definedName name="Lockout_Periods">#REF!</definedName>
    <definedName name="m_amort_1">#REF!</definedName>
    <definedName name="m_amort_2">#REF!</definedName>
    <definedName name="m_amort_3">#REF!</definedName>
    <definedName name="m_amort_4">#REF!</definedName>
    <definedName name="MDY_AvgLife">#REF!</definedName>
    <definedName name="MDY_Benchmarks">#REF!</definedName>
    <definedName name="MDY_Bmarks">#REF!</definedName>
    <definedName name="MDY_COMBOMegaOutputMatrix">#REF!</definedName>
    <definedName name="MDY_Div_1">#REF!</definedName>
    <definedName name="MDY_Div_2">#REF!</definedName>
    <definedName name="MDY_Eff_Group">#REF!</definedName>
    <definedName name="MDY_First_Run">#REF!</definedName>
    <definedName name="MDY_Groups_To_Run">#REF!</definedName>
    <definedName name="MDY_Libor_Curve">#REF!</definedName>
    <definedName name="MDY_Loss_Curve">#REF!</definedName>
    <definedName name="MDY_Loss_Output">#REF!</definedName>
    <definedName name="MDY_Losses">#REF!</definedName>
    <definedName name="MDY_Max_Fixed">#REF!</definedName>
    <definedName name="MDY_MegaOutputMatrix">#REF!</definedName>
    <definedName name="MDY_Min_Fixed">#REF!</definedName>
    <definedName name="MDY_Num_Of_Groups">#REF!</definedName>
    <definedName name="MDY_NumOfScen">#REF!</definedName>
    <definedName name="MDY_output1">#REF!</definedName>
    <definedName name="MDY_output2">#REF!</definedName>
    <definedName name="MDY_OutputMatrix">#REF!</definedName>
    <definedName name="MDY_results">#REF!</definedName>
    <definedName name="MDY_Run_Group">#REF!</definedName>
    <definedName name="MDY_run_num">#REF!</definedName>
    <definedName name="MDY_Scenario_Output">#REF!</definedName>
    <definedName name="MDY_Second_Run">#REF!</definedName>
    <definedName name="MDY_Sorted_Scen">#REF!</definedName>
    <definedName name="MDY_Total_Scenarios">#REF!</definedName>
    <definedName name="Mdy_Trunc_Rating">#REF!</definedName>
    <definedName name="MDY_WAL_Copy1">#REF!</definedName>
    <definedName name="MDY_WAL_Copy2">#REF!</definedName>
    <definedName name="MDY_WAL_Paste1">#REF!</definedName>
    <definedName name="MDY_WAL_Paste2">#REF!</definedName>
    <definedName name="memcapseg">#REF!</definedName>
    <definedName name="mempl">#REF!</definedName>
    <definedName name="memqcapseg">#REF!</definedName>
    <definedName name="memqpl">#REF!</definedName>
    <definedName name="mincash">#REF!</definedName>
    <definedName name="Mode">#REF!</definedName>
    <definedName name="model">#REF!</definedName>
    <definedName name="month">#REF!</definedName>
    <definedName name="Moody">#REF!</definedName>
    <definedName name="Moody_s_Industry_Classes">#REF!</definedName>
    <definedName name="MoodyClass">#REF!</definedName>
    <definedName name="moodys_diversity_table">#REF!</definedName>
    <definedName name="moodys_f">#REF!</definedName>
    <definedName name="mult_sen">#REF!</definedName>
    <definedName name="mvcurrent">#REF!</definedName>
    <definedName name="mvcurrent_a">#REF!</definedName>
    <definedName name="mvcurrent_b">#REF!</definedName>
    <definedName name="mvcurrent_c">#REF!</definedName>
    <definedName name="mvcurrent_f">#REF!</definedName>
    <definedName name="mvcurrent_g">#REF!</definedName>
    <definedName name="name_a">#REF!</definedName>
    <definedName name="name_a1">#REF!</definedName>
    <definedName name="name_a2">#REF!</definedName>
    <definedName name="name_a3">#REF!</definedName>
    <definedName name="name_b">#REF!</definedName>
    <definedName name="name_b1">#REF!</definedName>
    <definedName name="name_b2">#REF!</definedName>
    <definedName name="name_c">#REF!</definedName>
    <definedName name="name_c1">#REF!</definedName>
    <definedName name="name_c2">#REF!</definedName>
    <definedName name="name_c3">#REF!</definedName>
    <definedName name="name_d">#REF!</definedName>
    <definedName name="name_d1">#REF!</definedName>
    <definedName name="name_d2">#REF!</definedName>
    <definedName name="name_d3">#REF!</definedName>
    <definedName name="name_e">#REF!</definedName>
    <definedName name="name_e1">#REF!</definedName>
    <definedName name="name_e2">#REF!</definedName>
    <definedName name="name_e3">#REF!</definedName>
    <definedName name="name_e4">#REF!</definedName>
    <definedName name="name_eq">#REF!</definedName>
    <definedName name="name_s1">#REF!</definedName>
    <definedName name="name_s2">#REF!</definedName>
    <definedName name="NAV">#REF!</definedName>
    <definedName name="NewTaxGW">#REF!</definedName>
    <definedName name="NewTaxIntangibles">#REF!</definedName>
    <definedName name="nghndh">#REF!</definedName>
    <definedName name="ni_mult">#REF!</definedName>
    <definedName name="ni_mult_sen">#REF!</definedName>
    <definedName name="ni_mult1">#REF!</definedName>
    <definedName name="ni_mult2">#REF!</definedName>
    <definedName name="ni_mult3">#REF!</definedName>
    <definedName name="ni_mult4">#REF!</definedName>
    <definedName name="ni_mult5">#REF!</definedName>
    <definedName name="ni_terminal">#REF!</definedName>
    <definedName name="nm">#REF!</definedName>
    <definedName name="nmn">#REF!</definedName>
    <definedName name="non_cash">#REF!</definedName>
    <definedName name="ntmn">#REF!</definedName>
    <definedName name="Num_Cols_T1">#REF!</definedName>
    <definedName name="Num_Cols_T2">#REF!</definedName>
    <definedName name="Num_Cols_T3">#REF!</definedName>
    <definedName name="Num_Rows_T1">#REF!</definedName>
    <definedName name="Num_Rows_T2">#REF!</definedName>
    <definedName name="Num_Rows_T3">#REF!</definedName>
    <definedName name="OC_init_f">#REF!</definedName>
    <definedName name="oc_limit">#REF!</definedName>
    <definedName name="Op_Stats">#REF!</definedName>
    <definedName name="Op_Stats1" localSheetId="9">#REF!</definedName>
    <definedName name="Op_Stats1" localSheetId="10">#REF!</definedName>
    <definedName name="Op_Stats1" localSheetId="1">#REF!</definedName>
    <definedName name="Op_Stats1">#REF!</definedName>
    <definedName name="Operating_Statistics">#REF!</definedName>
    <definedName name="OutputA_T1">#REF!</definedName>
    <definedName name="OutputA_T2">#REF!</definedName>
    <definedName name="OutputA_T3">#REF!</definedName>
    <definedName name="OutputB_T1">#REF!</definedName>
    <definedName name="OutputB_T2">#REF!</definedName>
    <definedName name="OutputB_T3">#REF!</definedName>
    <definedName name="P">#REF!</definedName>
    <definedName name="PAGE1">#REF!</definedName>
    <definedName name="page2">#REF!</definedName>
    <definedName name="page2a">#REF!</definedName>
    <definedName name="page3a">#REF!</definedName>
    <definedName name="page4a">#REF!</definedName>
    <definedName name="page4b">#REF!</definedName>
    <definedName name="PAGE4C">#REF!</definedName>
    <definedName name="PAGEWIDTH">#REF!</definedName>
    <definedName name="parcurrent">#REF!</definedName>
    <definedName name="ParRemaining_B">#REF!</definedName>
    <definedName name="perp_lev">#REF!</definedName>
    <definedName name="perp_lev_sen">#REF!</definedName>
    <definedName name="perp_lev1">#REF!</definedName>
    <definedName name="perp_lev2">#REF!</definedName>
    <definedName name="perp_lev3">#REF!</definedName>
    <definedName name="perp_lev4">#REF!</definedName>
    <definedName name="perp_lev5">#REF!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LL">#REF!</definedName>
    <definedName name="POOL1">#REF!</definedName>
    <definedName name="POOL2">#REF!</definedName>
    <definedName name="POOL3">#REF!</definedName>
    <definedName name="POOL4">#REF!</definedName>
    <definedName name="POOL5">#REF!</definedName>
    <definedName name="prefrate">#REF!</definedName>
    <definedName name="PresentationNormalA4">#REF!</definedName>
    <definedName name="PREV_CPN_DT">#REF!</definedName>
    <definedName name="Price">#REF!</definedName>
    <definedName name="prin_eq">#REF!</definedName>
    <definedName name="prin_f1">#REF!</definedName>
    <definedName name="prin_f2">#REF!</definedName>
    <definedName name="prin_f3">#REF!</definedName>
    <definedName name="prin_f4">#REF!</definedName>
    <definedName name="Principal">#REF!</definedName>
    <definedName name="_xlnm.Print_Area" localSheetId="4">'Debt Detail'!$A$1:$AP$43</definedName>
    <definedName name="_xlnm.Print_Area" localSheetId="14">Geographic!$A$1:$AE$19</definedName>
    <definedName name="_xlnm.Print_Area" localSheetId="9">'Incur Covs'!$A$1:$H$36</definedName>
    <definedName name="_xlnm.Print_Area" localSheetId="0">INSTRUCTIONS!$A$1:$T$105</definedName>
    <definedName name="_xlnm.Print_Area" localSheetId="2">Model!$AD$1:$BO$230</definedName>
    <definedName name="_xlnm.Print_Area" localSheetId="3">Segment!$B$1:$AN$50</definedName>
    <definedName name="_xlnm.Print_Area" localSheetId="8">Structure!$A$1:$AC$16</definedName>
    <definedName name="_xlnm.Print_Area" localSheetId="1">'Summary Pg'!$B$1:$M$85</definedName>
    <definedName name="Print_Area_MI">#REF!</definedName>
    <definedName name="_xlnm.Print_Titles" localSheetId="0">INSTRUCTIONS!$1:$2</definedName>
    <definedName name="_xlnm.Print_Titles" localSheetId="2">Model!$B:$D,Model!$2:$3</definedName>
    <definedName name="Print_Titles_MI">#REF!</definedName>
    <definedName name="Prnt_Annual">#REF!</definedName>
    <definedName name="q">#REF!</definedName>
    <definedName name="Qtrs">#REF!</definedName>
    <definedName name="Quarters">#REF!</definedName>
    <definedName name="qw">#REF!</definedName>
    <definedName name="qwew">#REF!</definedName>
    <definedName name="ramp_up_carry">#REF!</definedName>
    <definedName name="ramp_up_carry_int">#REF!</definedName>
    <definedName name="ramp_up_period">#REF!</definedName>
    <definedName name="rate">#REF!</definedName>
    <definedName name="rating_rule_moodys">#REF!</definedName>
    <definedName name="rating_table">#REF!</definedName>
    <definedName name="rating_target_moodys">#REF!</definedName>
    <definedName name="RCN_1">#REF!</definedName>
    <definedName name="RCN_2">#REF!</definedName>
    <definedName name="Recovery_Input_Fixed">#REF!</definedName>
    <definedName name="Recovery_Input_Floating">#REF!</definedName>
    <definedName name="recovery_rate">#REF!</definedName>
    <definedName name="recovery_vector">#REF!</definedName>
    <definedName name="Recovery1">#REF!</definedName>
    <definedName name="redeem">#REF!</definedName>
    <definedName name="redemption_per">#REF!</definedName>
    <definedName name="reinvest_per">#REF!</definedName>
    <definedName name="Remaining_Cash">#REF!</definedName>
    <definedName name="repo">#REF!</definedName>
    <definedName name="rthst">#REF!</definedName>
    <definedName name="rymghm">#REF!</definedName>
    <definedName name="s" localSheetId="9">{#N/A,#N/A,FALSE,"PortfolioStats";#N/A,#N/A,FALSE,"Graphs";#N/A,#N/A,FALSE,"Binomial Expansion";#N/A,#N/A,FALSE,"SP Analysis"}</definedName>
    <definedName name="s">{#N/A,#N/A,FALSE,"PortfolioStats";#N/A,#N/A,FALSE,"Graphs";#N/A,#N/A,FALSE,"Binomial Expansion";#N/A,#N/A,FALSE,"SP Analysis"}</definedName>
    <definedName name="S___P_Industry_Classes">#REF!</definedName>
    <definedName name="Scenario_Data">#REF!</definedName>
    <definedName name="sd">#REF!</definedName>
    <definedName name="sdf">#REF!</definedName>
    <definedName name="sdfagag">#REF!</definedName>
    <definedName name="sdfs" localSheetId="9" hidden="1">{#N/A,#N/A,FALSE,"PortfolioStats";#N/A,#N/A,FALSE,"Graphs";#N/A,#N/A,FALSE,"Binomial Expansion";#N/A,#N/A,FALSE,"SP Analysis"}</definedName>
    <definedName name="sdfs" hidden="1">{#N/A,#N/A,FALSE,"PortfolioStats";#N/A,#N/A,FALSE,"Graphs";#N/A,#N/A,FALSE,"Binomial Expansion";#N/A,#N/A,FALSE,"SP Analysis"}</definedName>
    <definedName name="sdfsdf">#REF!</definedName>
    <definedName name="sect_POP_prin">#REF!</definedName>
    <definedName name="seginfo">#REF!</definedName>
    <definedName name="seginfo1">#REF!</definedName>
    <definedName name="Sek">#REF!</definedName>
    <definedName name="semiliquid">#REF!</definedName>
    <definedName name="share_tog">#REF!</definedName>
    <definedName name="shares">#REF!</definedName>
    <definedName name="Short_Gains">#REF!</definedName>
    <definedName name="Shorts_Profitability">#REF!</definedName>
    <definedName name="shos">#REF!</definedName>
    <definedName name="SNP_Trunc_Rating">#REF!</definedName>
    <definedName name="SP_Actual_Default">#REF!</definedName>
    <definedName name="SP_CDR">#REF!</definedName>
    <definedName name="SP_Class">#REF!</definedName>
    <definedName name="SP_Class_Recovery">#REF!</definedName>
    <definedName name="sp_f">#REF!</definedName>
    <definedName name="SP_Interest_Default">#REF!</definedName>
    <definedName name="SP_LIBOR">#REF!</definedName>
    <definedName name="SP_Loss">#REF!</definedName>
    <definedName name="SP_Principal_Default">#REF!</definedName>
    <definedName name="SP_Refrange1">#REF!</definedName>
    <definedName name="SP_Refrange10">#REF!</definedName>
    <definedName name="SP_Refrange2">#REF!</definedName>
    <definedName name="SP_Refrange3">#REF!</definedName>
    <definedName name="SP_Refrange4">#REF!</definedName>
    <definedName name="SP_Refrange5">#REF!</definedName>
    <definedName name="SP_Refrange6">#REF!</definedName>
    <definedName name="SP_Refrange7">#REF!</definedName>
    <definedName name="SP_Refrange8">#REF!</definedName>
    <definedName name="SP_Refrange9">#REF!</definedName>
    <definedName name="SP_Run_BEs">#REF!</definedName>
    <definedName name="SP_Run_Class">#REF!</definedName>
    <definedName name="SP_Run_Mix">#REF!</definedName>
    <definedName name="SP_RunCombo">#REF!</definedName>
    <definedName name="SP_Shortfall">#REF!</definedName>
    <definedName name="SP_Use_Actual_BE">#REF!</definedName>
    <definedName name="SpK_Paste" localSheetId="9">OFFSET(#REF!,MATCH(def_prog,#REF!,0),MATCH(LIBOR_shock,#REF!,0))</definedName>
    <definedName name="SpK_Paste">OFFSET(#REF!,MATCH(def_prog,#REF!,0),MATCH(LIBOR_shock,#REF!,0))</definedName>
    <definedName name="Sprd_Widening">#REF!</definedName>
    <definedName name="Spread">#REF!</definedName>
    <definedName name="SrSec_Spread">#REF!</definedName>
    <definedName name="start_date">#REF!</definedName>
    <definedName name="Start_Table">#REF!</definedName>
    <definedName name="Std_Curves">#REF!</definedName>
    <definedName name="STIBOR">#REF!</definedName>
    <definedName name="submgtfee_sr">#REF!</definedName>
    <definedName name="submgtfee_sub">#REF!</definedName>
    <definedName name="sum_CFs">#REF!</definedName>
    <definedName name="sum_page">#REF!</definedName>
    <definedName name="TableA_T1">#REF!</definedName>
    <definedName name="TableA_T2">#REF!</definedName>
    <definedName name="TableA_T3">#REF!</definedName>
    <definedName name="TableB_T1">#REF!</definedName>
    <definedName name="TableB_T2">#REF!</definedName>
    <definedName name="TableB_T3">#REF!</definedName>
    <definedName name="Target">#REF!</definedName>
    <definedName name="Target_Par">#REF!</definedName>
    <definedName name="tau">#REF!</definedName>
    <definedName name="tax_rate">#REF!</definedName>
    <definedName name="term_value">#REF!</definedName>
    <definedName name="term_year">#REF!</definedName>
    <definedName name="terminal_year">#REF!</definedName>
    <definedName name="test_date">#REF!</definedName>
    <definedName name="TestAdd">"Test RefersTo1"</definedName>
    <definedName name="total_cap">#REF!</definedName>
    <definedName name="TR_Input_T1">#REF!</definedName>
    <definedName name="TR_Input_T2">#REF!</definedName>
    <definedName name="TR_Input_T3">#REF!</definedName>
    <definedName name="trading_gain_percent">#REF!</definedName>
    <definedName name="Tranche_Break">#REF!</definedName>
    <definedName name="Tranche_for_BE">#REF!</definedName>
    <definedName name="trustee_asof_date">#REF!</definedName>
    <definedName name="Turk">#REF!</definedName>
    <definedName name="tyjuj">#REF!</definedName>
    <definedName name="tyreter">#REF!</definedName>
    <definedName name="unlev_fcf_rate">#REF!</definedName>
    <definedName name="unquoted">#REF!</definedName>
    <definedName name="USD_to_EURO_exchange_rate">#REF!</definedName>
    <definedName name="USDLIBOR">#REF!</definedName>
    <definedName name="value_date">#REF!</definedName>
    <definedName name="vb">#REF!</definedName>
    <definedName name="vbbdf">#REF!</definedName>
    <definedName name="vefdfvd">#REF!</definedName>
    <definedName name="WACC">#REF!</definedName>
    <definedName name="WACC_sen">#REF!</definedName>
    <definedName name="WAPP">#REF!</definedName>
    <definedName name="WARF">#REF!</definedName>
    <definedName name="we" localSheetId="9">OFFSET(#REF!,MATCH(def_prog,#REF!,0),MATCH(LIBOR_shock,#REF!,0))</definedName>
    <definedName name="we">OFFSET(#REF!,MATCH(def_prog,#REF!,0),MATCH(LIBOR_shock,#REF!,0))</definedName>
    <definedName name="wee" localSheetId="9" hidden="1">{#N/A,#N/A,FALSE,"PortfolioStats";#N/A,#N/A,FALSE,"Graphs";#N/A,#N/A,FALSE,"Binomial Expansion";#N/A,#N/A,FALSE,"SP Analysis"}</definedName>
    <definedName name="wee" hidden="1">{#N/A,#N/A,FALSE,"PortfolioStats";#N/A,#N/A,FALSE,"Graphs";#N/A,#N/A,FALSE,"Binomial Expansion";#N/A,#N/A,FALSE,"SP Analysis"}</definedName>
    <definedName name="weqweqwe">#REF!</definedName>
    <definedName name="wer">#REF!</definedName>
    <definedName name="Widening_Scenario">#REF!</definedName>
    <definedName name="Widening_Time">#REF!</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n.Base." localSheetId="9" hidden="1">{#N/A,#N/A,FALSE,"PortfolioStats";#N/A,#N/A,FALSE,"Graphs";#N/A,#N/A,FALSE,"Binomial Expansion";#N/A,#N/A,FALSE,"SP Analysis"}</definedName>
    <definedName name="wrn.Base." hidden="1">{#N/A,#N/A,FALSE,"PortfolioStats";#N/A,#N/A,FALSE,"Graphs";#N/A,#N/A,FALSE,"Binomial Expansion";#N/A,#N/A,FALSE,"SP Analysis"}</definedName>
    <definedName name="wtdavgshares">#REF!</definedName>
    <definedName name="xccy_notl">#REF!</definedName>
    <definedName name="yaccrued">#REF!</definedName>
    <definedName name="ycoupon">#REF!</definedName>
    <definedName name="YearEnd">#REF!</definedName>
    <definedName name="yFitchRatingFactor">#REF!</definedName>
    <definedName name="yield_title">#REF!</definedName>
    <definedName name="ypar">#REF!</definedName>
    <definedName name="ypool">#REF!</definedName>
    <definedName name="yprice">#REF!</definedName>
    <definedName name="ySpread">#REF!</definedName>
    <definedName name="yType">#REF!</definedName>
    <definedName name="za">#REF!</definedName>
    <definedName name="zaccint">#REF!</definedName>
    <definedName name="zAccruedtoClose">#REF!</definedName>
    <definedName name="zAccruedtoRamp">#REF!</definedName>
    <definedName name="zCountry">#REF!</definedName>
    <definedName name="zCoupon">#REF!</definedName>
    <definedName name="zCoupons2FirstPay">#REF!</definedName>
    <definedName name="zCurrency">#REF!</definedName>
    <definedName name="zCUSIPrange">#REF!</definedName>
    <definedName name="zDayCount">#REF!</definedName>
    <definedName name="zFacility150">#REF!</definedName>
    <definedName name="zFirstCoupon">#REF!</definedName>
    <definedName name="zFixed">#REF!</definedName>
    <definedName name="zFPIfromClose">#REF!</definedName>
    <definedName name="zIntAccrueDate">#REF!</definedName>
    <definedName name="zIssuerDivPtsCurrent">#REF!</definedName>
    <definedName name="zIssuerOC_MV">#REF!</definedName>
    <definedName name="zIssuers">#REF!</definedName>
    <definedName name="zMarketPrice">#REF!</definedName>
    <definedName name="zmastermv">#REF!</definedName>
    <definedName name="zMatt">#REF!</definedName>
    <definedName name="zMDur">#REF!</definedName>
    <definedName name="zmfpar">#REF!</definedName>
    <definedName name="zMoodysIndustry">#REF!</definedName>
    <definedName name="zMoodysIssuers">#REF!</definedName>
    <definedName name="zMV_OC">#REF!</definedName>
    <definedName name="zMVcurrent">#REF!</definedName>
    <definedName name="zMVindustry">#REF!</definedName>
    <definedName name="zMVtarget">#REF!</definedName>
    <definedName name="zNextCall">#REF!</definedName>
    <definedName name="zNextCallPrice">#REF!</definedName>
    <definedName name="zNonPerforming">#REF!</definedName>
    <definedName name="zpar">#REF!</definedName>
    <definedName name="zParCall">#REF!</definedName>
    <definedName name="zParSettled">#REF!</definedName>
    <definedName name="zParTarget">#REF!</definedName>
    <definedName name="zpool">#REF!</definedName>
    <definedName name="zPoolA">#REF!</definedName>
    <definedName name="zPoolB">#REF!</definedName>
    <definedName name="zPoolC">#REF!</definedName>
    <definedName name="zpoolf">#REF!</definedName>
    <definedName name="zpoolg">#REF!</definedName>
    <definedName name="zs">#REF!</definedName>
    <definedName name="zsdgsdg">#REF!</definedName>
    <definedName name="zSecurities">#REF!</definedName>
    <definedName name="zSeniority">#REF!</definedName>
    <definedName name="zSnPIndustry">#REF!</definedName>
    <definedName name="zspemv">#REF!</definedName>
    <definedName name="zspepar">#REF!</definedName>
    <definedName name="zStatus">#REF!</definedName>
    <definedName name="zSub_Unsec">#REF!</definedName>
    <definedName name="zSubPool">#REF!</definedName>
    <definedName name="zWorstDate">#REF!</definedName>
    <definedName name="zxcvzxcvzx">#REF!</definedName>
    <definedName name="zYieldCost">#REF!</definedName>
  </definedNames>
  <calcPr calcId="191028"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83" i="9" l="1"/>
  <c r="BS183" i="9"/>
  <c r="BR183" i="9"/>
  <c r="BQ183" i="9"/>
  <c r="BP183" i="9"/>
  <c r="BO183" i="9"/>
  <c r="BN183" i="9"/>
  <c r="BM183" i="9"/>
  <c r="BL183" i="9"/>
  <c r="BK183" i="9"/>
  <c r="BJ183" i="9"/>
  <c r="BI183" i="9"/>
  <c r="BH183" i="9"/>
  <c r="BG183" i="9"/>
  <c r="BF183" i="9"/>
  <c r="BE183" i="9"/>
  <c r="BD183" i="9"/>
  <c r="BC183" i="9"/>
  <c r="BB183" i="9"/>
  <c r="BA183" i="9"/>
  <c r="AZ183" i="9"/>
  <c r="AY183" i="9"/>
  <c r="AX183" i="9"/>
  <c r="AW183" i="9"/>
  <c r="AV183" i="9"/>
  <c r="AU183" i="9"/>
  <c r="AT183" i="9"/>
  <c r="AS183" i="9"/>
  <c r="AR183" i="9"/>
  <c r="AQ183" i="9"/>
  <c r="AP183" i="9"/>
  <c r="AO183" i="9"/>
  <c r="AN183" i="9"/>
  <c r="AM183" i="9"/>
  <c r="AL183" i="9"/>
  <c r="AK183" i="9"/>
  <c r="AJ183" i="9"/>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BT101" i="9"/>
  <c r="BS101" i="9"/>
  <c r="BR101" i="9"/>
  <c r="BQ101" i="9"/>
  <c r="BP101" i="9"/>
  <c r="BO101" i="9"/>
  <c r="BN101" i="9"/>
  <c r="BM101" i="9"/>
  <c r="BL101" i="9"/>
  <c r="BK101" i="9"/>
  <c r="BJ101" i="9"/>
  <c r="BI101" i="9"/>
  <c r="BH101" i="9"/>
  <c r="BG101" i="9"/>
  <c r="BF101" i="9"/>
  <c r="BE101" i="9"/>
  <c r="BD101" i="9"/>
  <c r="BC101" i="9"/>
  <c r="BB101" i="9"/>
  <c r="BA101" i="9"/>
  <c r="AZ101" i="9"/>
  <c r="AY101" i="9"/>
  <c r="AX101" i="9"/>
  <c r="AW101" i="9"/>
  <c r="AV101" i="9"/>
  <c r="AU101" i="9"/>
  <c r="AT101" i="9"/>
  <c r="AS101" i="9"/>
  <c r="AR101" i="9"/>
  <c r="AQ101" i="9"/>
  <c r="AP101" i="9"/>
  <c r="AO101" i="9"/>
  <c r="AN101" i="9"/>
  <c r="AM101" i="9"/>
  <c r="AL101"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BT41" i="9"/>
  <c r="BS41" i="9"/>
  <c r="BR41" i="9"/>
  <c r="BQ41" i="9"/>
  <c r="BP41" i="9"/>
  <c r="BO41" i="9"/>
  <c r="BN41" i="9"/>
  <c r="BM41" i="9"/>
  <c r="BL41" i="9"/>
  <c r="BK41" i="9"/>
  <c r="BJ41" i="9"/>
  <c r="BI41" i="9"/>
  <c r="BH41" i="9"/>
  <c r="BG41" i="9"/>
  <c r="BF41" i="9"/>
  <c r="BE41" i="9"/>
  <c r="BD41" i="9"/>
  <c r="BC41" i="9"/>
  <c r="BB41" i="9"/>
  <c r="BA41" i="9"/>
  <c r="AZ41" i="9"/>
  <c r="AY41" i="9"/>
  <c r="AX41" i="9"/>
  <c r="AW41" i="9"/>
  <c r="AV41" i="9"/>
  <c r="AU41" i="9"/>
  <c r="AT41" i="9"/>
  <c r="AS41" i="9"/>
  <c r="AR41" i="9"/>
  <c r="AQ41" i="9"/>
  <c r="AP41" i="9"/>
  <c r="AO41" i="9"/>
  <c r="AN41" i="9"/>
  <c r="AM41" i="9"/>
  <c r="AL41" i="9"/>
  <c r="AK41" i="9"/>
  <c r="AJ41" i="9"/>
  <c r="AI41" i="9"/>
  <c r="AH41" i="9"/>
  <c r="AG41" i="9"/>
  <c r="AF41" i="9"/>
  <c r="AE41" i="9"/>
  <c r="AD41" i="9"/>
  <c r="AC41" i="9"/>
  <c r="AB41" i="9"/>
  <c r="AA41" i="9"/>
  <c r="Z41" i="9"/>
  <c r="Y41" i="9"/>
  <c r="X41" i="9"/>
  <c r="W41" i="9"/>
  <c r="V41" i="9"/>
  <c r="U41" i="9"/>
  <c r="T41" i="9"/>
  <c r="S41" i="9"/>
  <c r="R41" i="9"/>
  <c r="Q41" i="9"/>
  <c r="P41" i="9"/>
  <c r="O41" i="9"/>
  <c r="N41" i="9"/>
  <c r="M41" i="9"/>
  <c r="L41" i="9"/>
  <c r="K41" i="9"/>
  <c r="J41" i="9"/>
  <c r="I41" i="9"/>
  <c r="H41" i="9"/>
  <c r="G41" i="9"/>
  <c r="F41" i="9"/>
  <c r="E41" i="9"/>
  <c r="BM258" i="9"/>
  <c r="BM236" i="9"/>
  <c r="BM235" i="9"/>
  <c r="BM217" i="9"/>
  <c r="BM204" i="9"/>
  <c r="BM209" i="9" s="1"/>
  <c r="BM219" i="9" s="1"/>
  <c r="BM191" i="9"/>
  <c r="BM197" i="9"/>
  <c r="BM220" i="9"/>
  <c r="BM172" i="9"/>
  <c r="BM154" i="9"/>
  <c r="BM138" i="9"/>
  <c r="BM131" i="9"/>
  <c r="BM145" i="9" s="1"/>
  <c r="BM124" i="9"/>
  <c r="BM126" i="9" s="1"/>
  <c r="BM120" i="9"/>
  <c r="BM117" i="9"/>
  <c r="BM18" i="9"/>
  <c r="BM108" i="9"/>
  <c r="BM107" i="9"/>
  <c r="BM103" i="9"/>
  <c r="BM73" i="9"/>
  <c r="BM71" i="9"/>
  <c r="BM65" i="9"/>
  <c r="BM248" i="9"/>
  <c r="BM60" i="9"/>
  <c r="BM58" i="9"/>
  <c r="BM57" i="9"/>
  <c r="BM55" i="9"/>
  <c r="BM54" i="9"/>
  <c r="BM52" i="9"/>
  <c r="BM51" i="9"/>
  <c r="BM49" i="9"/>
  <c r="BM48" i="9"/>
  <c r="BM46" i="9"/>
  <c r="BM45" i="9"/>
  <c r="BM21" i="9"/>
  <c r="BM20" i="9"/>
  <c r="BM9" i="9"/>
  <c r="BM8" i="9"/>
  <c r="BL258" i="9"/>
  <c r="BL236" i="9"/>
  <c r="BL235" i="9"/>
  <c r="BL217" i="9"/>
  <c r="BL204" i="9"/>
  <c r="BL209" i="9" s="1"/>
  <c r="BL219" i="9" s="1"/>
  <c r="BL191" i="9"/>
  <c r="BL197" i="9" s="1"/>
  <c r="BL172" i="9"/>
  <c r="BL154" i="9"/>
  <c r="BL138" i="9"/>
  <c r="BL131" i="9"/>
  <c r="BL124" i="9"/>
  <c r="BL126" i="9" s="1"/>
  <c r="BL120" i="9"/>
  <c r="BL117" i="9"/>
  <c r="BL108" i="9"/>
  <c r="BL107" i="9"/>
  <c r="BL103" i="9"/>
  <c r="BL73" i="9"/>
  <c r="BL71" i="9"/>
  <c r="BL65" i="9"/>
  <c r="BL248" i="9"/>
  <c r="BL60" i="9"/>
  <c r="BL58" i="9"/>
  <c r="BL57" i="9"/>
  <c r="BL55" i="9"/>
  <c r="BL54" i="9"/>
  <c r="BL52" i="9"/>
  <c r="BL51" i="9"/>
  <c r="BL49" i="9"/>
  <c r="BL48" i="9"/>
  <c r="BL46" i="9"/>
  <c r="BL45" i="9"/>
  <c r="BL21" i="9"/>
  <c r="BL20" i="9"/>
  <c r="BL19" i="9"/>
  <c r="BL22" i="9" s="1"/>
  <c r="BL23" i="9" s="1"/>
  <c r="BL18" i="9"/>
  <c r="BL9" i="9"/>
  <c r="BL8" i="9"/>
  <c r="BS172" i="9"/>
  <c r="BR172" i="9"/>
  <c r="BQ172" i="9"/>
  <c r="BP172" i="9"/>
  <c r="BS138" i="9"/>
  <c r="BR138" i="9"/>
  <c r="BQ138" i="9"/>
  <c r="BP138" i="9"/>
  <c r="BP145" i="9" s="1"/>
  <c r="BP147" i="9" s="1"/>
  <c r="BS131" i="9"/>
  <c r="BS145" i="9" s="1"/>
  <c r="BS147" i="9" s="1"/>
  <c r="BR131" i="9"/>
  <c r="BQ131" i="9"/>
  <c r="BQ145" i="9" s="1"/>
  <c r="BQ147" i="9" s="1"/>
  <c r="BP131" i="9"/>
  <c r="BS120" i="9"/>
  <c r="BR120" i="9"/>
  <c r="BQ120" i="9"/>
  <c r="BP120" i="9"/>
  <c r="BS117" i="9"/>
  <c r="BS18" i="9"/>
  <c r="BR117" i="9"/>
  <c r="BR18" i="9"/>
  <c r="BQ117" i="9"/>
  <c r="BP117" i="9"/>
  <c r="BP18" i="9"/>
  <c r="BP110" i="9"/>
  <c r="BP59" i="9"/>
  <c r="BP58" i="9"/>
  <c r="BS57" i="9"/>
  <c r="BR57" i="9"/>
  <c r="BQ57" i="9"/>
  <c r="BP57" i="9"/>
  <c r="BS54" i="9"/>
  <c r="BR54" i="9"/>
  <c r="BQ54" i="9"/>
  <c r="BP54" i="9"/>
  <c r="BS51" i="9"/>
  <c r="BR51" i="9"/>
  <c r="BQ51" i="9"/>
  <c r="BP51" i="9"/>
  <c r="BP49" i="9"/>
  <c r="BS48" i="9"/>
  <c r="BR48" i="9"/>
  <c r="BQ48" i="9"/>
  <c r="BP48" i="9"/>
  <c r="BS45" i="9"/>
  <c r="BR45" i="9"/>
  <c r="BQ45" i="9"/>
  <c r="BP45" i="9"/>
  <c r="BQ18" i="9"/>
  <c r="BS9" i="9"/>
  <c r="BR9" i="9"/>
  <c r="BQ9" i="9"/>
  <c r="BP9" i="9"/>
  <c r="BP8" i="9"/>
  <c r="BK258" i="9"/>
  <c r="BP258" i="9"/>
  <c r="BI258" i="9"/>
  <c r="BK236" i="9"/>
  <c r="BI236" i="9"/>
  <c r="BK235" i="9"/>
  <c r="BP235" i="9"/>
  <c r="BI235" i="9"/>
  <c r="BK228" i="9"/>
  <c r="BJ228" i="9"/>
  <c r="BI228" i="9"/>
  <c r="BK227" i="9"/>
  <c r="BJ227" i="9"/>
  <c r="BI227" i="9"/>
  <c r="BK226" i="9"/>
  <c r="BJ226" i="9"/>
  <c r="BI226" i="9"/>
  <c r="BK225" i="9"/>
  <c r="BJ225" i="9"/>
  <c r="BI225" i="9"/>
  <c r="BK224" i="9"/>
  <c r="BJ224" i="9"/>
  <c r="BI224" i="9"/>
  <c r="BK223" i="9"/>
  <c r="BJ223" i="9"/>
  <c r="BI223" i="9"/>
  <c r="BK217" i="9"/>
  <c r="BI217" i="9"/>
  <c r="BJ216" i="9"/>
  <c r="BJ214" i="9"/>
  <c r="BJ213" i="9"/>
  <c r="BJ208" i="9"/>
  <c r="BJ207" i="9"/>
  <c r="BK204" i="9"/>
  <c r="BK209" i="9"/>
  <c r="BK219" i="9"/>
  <c r="BI204" i="9"/>
  <c r="BI209" i="9"/>
  <c r="BI219" i="9"/>
  <c r="BJ203" i="9"/>
  <c r="BJ201" i="9"/>
  <c r="BJ200" i="9"/>
  <c r="BJ199" i="9"/>
  <c r="BJ196" i="9"/>
  <c r="BJ195" i="9"/>
  <c r="BJ194" i="9"/>
  <c r="BK191" i="9"/>
  <c r="BK197" i="9"/>
  <c r="BI191" i="9"/>
  <c r="BI197" i="9"/>
  <c r="BJ190" i="9"/>
  <c r="BJ189" i="9"/>
  <c r="BJ188" i="9"/>
  <c r="BJ187" i="9"/>
  <c r="BJ186" i="9"/>
  <c r="BJ174" i="9"/>
  <c r="BK172" i="9"/>
  <c r="BI172" i="9"/>
  <c r="BJ171" i="9"/>
  <c r="BJ170" i="9"/>
  <c r="BJ169" i="9"/>
  <c r="BJ168" i="9"/>
  <c r="BJ167" i="9"/>
  <c r="BJ165" i="9"/>
  <c r="BJ162" i="9"/>
  <c r="BJ161" i="9"/>
  <c r="BJ160" i="9"/>
  <c r="BJ159" i="9"/>
  <c r="BJ158" i="9"/>
  <c r="BK154" i="9"/>
  <c r="BI154" i="9"/>
  <c r="BJ152" i="9"/>
  <c r="BJ151" i="9"/>
  <c r="BJ150" i="9"/>
  <c r="BK138" i="9"/>
  <c r="BJ138" i="9"/>
  <c r="BJ145" i="9" s="1"/>
  <c r="BJ147" i="9" s="1"/>
  <c r="BI138" i="9"/>
  <c r="BI145" i="9" s="1"/>
  <c r="BI147" i="9" s="1"/>
  <c r="BK131" i="9"/>
  <c r="BJ131" i="9"/>
  <c r="BI131" i="9"/>
  <c r="BJ125" i="9"/>
  <c r="BK124" i="9"/>
  <c r="BK126" i="9"/>
  <c r="BK21" i="9"/>
  <c r="BI124" i="9"/>
  <c r="BI126" i="9"/>
  <c r="BI21" i="9"/>
  <c r="BK120" i="9"/>
  <c r="BI120" i="9"/>
  <c r="BI118" i="9"/>
  <c r="BK117" i="9"/>
  <c r="BJ117" i="9"/>
  <c r="BJ18" i="9"/>
  <c r="BI117" i="9"/>
  <c r="BJ110" i="9"/>
  <c r="BK108" i="9"/>
  <c r="BI108" i="9"/>
  <c r="BK107" i="9"/>
  <c r="BI107" i="9"/>
  <c r="BK103" i="9"/>
  <c r="BI103" i="9"/>
  <c r="BJ93" i="9"/>
  <c r="BJ91" i="9"/>
  <c r="BJ78" i="9"/>
  <c r="BJ76" i="9"/>
  <c r="BJ75" i="9"/>
  <c r="BK73" i="9"/>
  <c r="BI73" i="9"/>
  <c r="BJ72" i="9"/>
  <c r="BJ108" i="9"/>
  <c r="BK71" i="9"/>
  <c r="BI71" i="9"/>
  <c r="BJ70" i="9"/>
  <c r="BJ107" i="9"/>
  <c r="BK65" i="9"/>
  <c r="BI65" i="9"/>
  <c r="BI248" i="9"/>
  <c r="BJ64" i="9"/>
  <c r="BJ65" i="9"/>
  <c r="BJ104" i="9"/>
  <c r="BK60" i="9"/>
  <c r="BK9" i="9"/>
  <c r="BI60" i="9"/>
  <c r="BI9" i="9"/>
  <c r="BJ59" i="9"/>
  <c r="BK58" i="9"/>
  <c r="BI58" i="9"/>
  <c r="BK57" i="9"/>
  <c r="BJ57" i="9"/>
  <c r="BI57" i="9"/>
  <c r="BK55" i="9"/>
  <c r="BI55" i="9"/>
  <c r="BK54" i="9"/>
  <c r="BJ54" i="9"/>
  <c r="BI54" i="9"/>
  <c r="BK52" i="9"/>
  <c r="BI52" i="9"/>
  <c r="BK51" i="9"/>
  <c r="BJ51" i="9"/>
  <c r="BI51" i="9"/>
  <c r="BK49" i="9"/>
  <c r="BI49" i="9"/>
  <c r="BK48" i="9"/>
  <c r="BJ48" i="9"/>
  <c r="BI48" i="9"/>
  <c r="BK46" i="9"/>
  <c r="BI46" i="9"/>
  <c r="BK45" i="9"/>
  <c r="BJ45" i="9"/>
  <c r="BI45" i="9"/>
  <c r="BK20" i="9"/>
  <c r="BI20" i="9"/>
  <c r="BI19" i="9"/>
  <c r="BI22" i="9" s="1"/>
  <c r="BI23" i="9" s="1"/>
  <c r="BK18" i="9"/>
  <c r="BI18" i="9"/>
  <c r="BK8" i="9"/>
  <c r="BI8" i="9"/>
  <c r="BS10" i="14"/>
  <c r="BN10" i="14"/>
  <c r="BI10" i="14"/>
  <c r="BD10" i="14"/>
  <c r="AY10" i="14"/>
  <c r="AT10" i="14"/>
  <c r="AO10" i="14"/>
  <c r="AJ10" i="14"/>
  <c r="AE10"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E5" i="14"/>
  <c r="F5" i="14" s="1"/>
  <c r="K5" i="14" s="1"/>
  <c r="BI10" i="7"/>
  <c r="BS10" i="7"/>
  <c r="BK43" i="10"/>
  <c r="BJ43" i="10"/>
  <c r="BI43" i="10"/>
  <c r="BK34" i="10"/>
  <c r="BJ34" i="10"/>
  <c r="BI34" i="10"/>
  <c r="BK25" i="10"/>
  <c r="BJ25" i="10"/>
  <c r="BI25" i="10"/>
  <c r="BK16" i="10"/>
  <c r="BK229" i="9" s="1"/>
  <c r="BJ16" i="10"/>
  <c r="BJ229" i="9" s="1"/>
  <c r="BI16" i="10"/>
  <c r="BI229" i="9" s="1"/>
  <c r="BT43" i="10"/>
  <c r="BS43" i="10"/>
  <c r="BR43" i="10"/>
  <c r="BQ43" i="10"/>
  <c r="BP43" i="10"/>
  <c r="BT34" i="10"/>
  <c r="BS34" i="10"/>
  <c r="BR34" i="10"/>
  <c r="BQ34" i="10"/>
  <c r="BP34" i="10"/>
  <c r="BT25" i="10"/>
  <c r="BS25" i="10"/>
  <c r="BR25" i="10"/>
  <c r="BQ25" i="10"/>
  <c r="BP25" i="10"/>
  <c r="BT174" i="9"/>
  <c r="BT171" i="9"/>
  <c r="BT170" i="9"/>
  <c r="BT169" i="9"/>
  <c r="BT168" i="9"/>
  <c r="BT167" i="9"/>
  <c r="BT165" i="9"/>
  <c r="BT162" i="9"/>
  <c r="BT161" i="9"/>
  <c r="BT160" i="9"/>
  <c r="BT159" i="9"/>
  <c r="BT158" i="9"/>
  <c r="BT152" i="9"/>
  <c r="BT151" i="9"/>
  <c r="BT138" i="9"/>
  <c r="BT145" i="9" s="1"/>
  <c r="BT147" i="9" s="1"/>
  <c r="BT26" i="9" s="1"/>
  <c r="BT131" i="9"/>
  <c r="BT125" i="9"/>
  <c r="BT117" i="9"/>
  <c r="BT18" i="9"/>
  <c r="BT93" i="9"/>
  <c r="BT78" i="9"/>
  <c r="BT76" i="9"/>
  <c r="BT75" i="9"/>
  <c r="BT57" i="9"/>
  <c r="BT54" i="9"/>
  <c r="BT51" i="9"/>
  <c r="BT48" i="9"/>
  <c r="BT45" i="9"/>
  <c r="E5" i="7"/>
  <c r="F5" i="7"/>
  <c r="F8" i="10"/>
  <c r="G8" i="10"/>
  <c r="C5" i="18"/>
  <c r="D5" i="18"/>
  <c r="BH43" i="10"/>
  <c r="BH34" i="10"/>
  <c r="BH25" i="10"/>
  <c r="BH16" i="10"/>
  <c r="BH258" i="9"/>
  <c r="BH236" i="9"/>
  <c r="BH235" i="9"/>
  <c r="BH217" i="9"/>
  <c r="BH204" i="9"/>
  <c r="BH209" i="9"/>
  <c r="BH191" i="9"/>
  <c r="BH197" i="9"/>
  <c r="BH172" i="9"/>
  <c r="BH154" i="9"/>
  <c r="BH138" i="9"/>
  <c r="BH131" i="9"/>
  <c r="BH19" i="9" s="1"/>
  <c r="BH22" i="9" s="1"/>
  <c r="BH23" i="9" s="1"/>
  <c r="BH124" i="9"/>
  <c r="BH126" i="9"/>
  <c r="BH21" i="9"/>
  <c r="BH120" i="9"/>
  <c r="BH117" i="9"/>
  <c r="BH108" i="9"/>
  <c r="BH107" i="9"/>
  <c r="BH103" i="9"/>
  <c r="BH73" i="9"/>
  <c r="BH71" i="9"/>
  <c r="BH65" i="9"/>
  <c r="BH104" i="9"/>
  <c r="BH60" i="9"/>
  <c r="BH9" i="9"/>
  <c r="BH58" i="9"/>
  <c r="BH57" i="9"/>
  <c r="BH55" i="9"/>
  <c r="BH54" i="9"/>
  <c r="BH52" i="9"/>
  <c r="BH51" i="9"/>
  <c r="BH49" i="9"/>
  <c r="BH48" i="9"/>
  <c r="BH46" i="9"/>
  <c r="BH45" i="9"/>
  <c r="BH20" i="9"/>
  <c r="BH18" i="9"/>
  <c r="BH8" i="9"/>
  <c r="J29" i="53"/>
  <c r="K29" i="53"/>
  <c r="BO43" i="10"/>
  <c r="BN43" i="10"/>
  <c r="BM43" i="10"/>
  <c r="BL43" i="10"/>
  <c r="BG43" i="10"/>
  <c r="BF43" i="10"/>
  <c r="BE43" i="10"/>
  <c r="BD43" i="10"/>
  <c r="BC43" i="10"/>
  <c r="BB43" i="10"/>
  <c r="BA43" i="10"/>
  <c r="AZ43" i="10"/>
  <c r="AY43" i="10"/>
  <c r="AX43" i="10"/>
  <c r="AW43" i="10"/>
  <c r="AV43" i="10"/>
  <c r="AU43" i="10"/>
  <c r="AT43" i="10"/>
  <c r="AS43" i="10"/>
  <c r="AR43" i="10"/>
  <c r="AQ43" i="10"/>
  <c r="AP43" i="10"/>
  <c r="AO43" i="10"/>
  <c r="AN43" i="10"/>
  <c r="AM43" i="10"/>
  <c r="AL43" i="10"/>
  <c r="AK43" i="10"/>
  <c r="AJ43" i="10"/>
  <c r="AI43" i="10"/>
  <c r="AH43" i="10"/>
  <c r="AG43" i="10"/>
  <c r="AF43" i="10"/>
  <c r="AE43" i="10"/>
  <c r="AD43" i="10"/>
  <c r="AC43" i="10"/>
  <c r="AB43" i="10"/>
  <c r="AA43" i="10"/>
  <c r="Z43" i="10"/>
  <c r="Y43" i="10"/>
  <c r="X43" i="10"/>
  <c r="W43" i="10"/>
  <c r="V43" i="10"/>
  <c r="U43" i="10"/>
  <c r="T43" i="10"/>
  <c r="S43" i="10"/>
  <c r="R43" i="10"/>
  <c r="Q43" i="10"/>
  <c r="P43" i="10"/>
  <c r="O43" i="10"/>
  <c r="N43" i="10"/>
  <c r="M43" i="10"/>
  <c r="L43" i="10"/>
  <c r="K43" i="10"/>
  <c r="J43" i="10"/>
  <c r="I43" i="10"/>
  <c r="H43" i="10"/>
  <c r="G43" i="10"/>
  <c r="F43" i="10"/>
  <c r="E43" i="10"/>
  <c r="BO34" i="10"/>
  <c r="BN34" i="10"/>
  <c r="BM34" i="10"/>
  <c r="BL34" i="10"/>
  <c r="BG34" i="10"/>
  <c r="BF34" i="10"/>
  <c r="BE34" i="10"/>
  <c r="BD34" i="10"/>
  <c r="BC34" i="10"/>
  <c r="BB34" i="10"/>
  <c r="BA34" i="10"/>
  <c r="AZ34" i="10"/>
  <c r="AY34" i="10"/>
  <c r="AX34" i="10"/>
  <c r="AW34" i="10"/>
  <c r="AV34" i="10"/>
  <c r="AU34" i="10"/>
  <c r="AT34" i="10"/>
  <c r="AS34" i="10"/>
  <c r="AR34" i="10"/>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BO25" i="10"/>
  <c r="BN25" i="10"/>
  <c r="BM25" i="10"/>
  <c r="BL25" i="10"/>
  <c r="BG25" i="10"/>
  <c r="BF25" i="10"/>
  <c r="BD25" i="10"/>
  <c r="BC25" i="10"/>
  <c r="BB25" i="10"/>
  <c r="BA25" i="10"/>
  <c r="AZ25" i="10"/>
  <c r="AY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BE25" i="10"/>
  <c r="BD10" i="7"/>
  <c r="BN10" i="7"/>
  <c r="AY10" i="7"/>
  <c r="BG16" i="10"/>
  <c r="BG229" i="9"/>
  <c r="BG228" i="9"/>
  <c r="BG227" i="9"/>
  <c r="BG226" i="9"/>
  <c r="BG225" i="9"/>
  <c r="BG224" i="9"/>
  <c r="BG223" i="9"/>
  <c r="BG258" i="9"/>
  <c r="BG236" i="9"/>
  <c r="BG235" i="9"/>
  <c r="BQ235" i="9"/>
  <c r="BG217" i="9"/>
  <c r="BG204" i="9"/>
  <c r="BG209" i="9"/>
  <c r="BG191" i="9"/>
  <c r="BG197" i="9"/>
  <c r="BG172" i="9"/>
  <c r="BG154" i="9"/>
  <c r="BG138" i="9"/>
  <c r="BG131" i="9"/>
  <c r="BG124" i="9"/>
  <c r="BG126" i="9"/>
  <c r="BG120" i="9"/>
  <c r="BG117" i="9"/>
  <c r="BG18" i="9"/>
  <c r="BG108" i="9"/>
  <c r="BG107" i="9"/>
  <c r="BG103" i="9"/>
  <c r="BG73" i="9"/>
  <c r="BG71" i="9"/>
  <c r="BG65" i="9"/>
  <c r="BG251" i="9"/>
  <c r="BG60" i="9"/>
  <c r="BG58" i="9"/>
  <c r="BG57" i="9"/>
  <c r="BG55" i="9"/>
  <c r="BG54" i="9"/>
  <c r="BG52" i="9"/>
  <c r="BG51" i="9"/>
  <c r="BG49" i="9"/>
  <c r="BG48" i="9"/>
  <c r="BG46" i="9"/>
  <c r="BG45" i="9"/>
  <c r="BG20" i="9"/>
  <c r="BG9" i="9"/>
  <c r="BG8" i="9"/>
  <c r="BF16" i="10"/>
  <c r="BE16" i="10"/>
  <c r="BE229" i="9"/>
  <c r="BD16" i="10"/>
  <c r="BD229" i="9"/>
  <c r="BC16" i="10"/>
  <c r="BF258" i="9"/>
  <c r="BF236" i="9"/>
  <c r="BF235" i="9"/>
  <c r="BF217" i="9"/>
  <c r="BF204" i="9"/>
  <c r="BF209" i="9"/>
  <c r="BF191" i="9"/>
  <c r="BF197" i="9"/>
  <c r="BF172" i="9"/>
  <c r="BF154" i="9"/>
  <c r="BF138" i="9"/>
  <c r="BF131" i="9"/>
  <c r="BF124" i="9"/>
  <c r="BF126" i="9"/>
  <c r="BF120" i="9"/>
  <c r="BF117" i="9"/>
  <c r="BF108" i="9"/>
  <c r="BF107" i="9"/>
  <c r="BF103" i="9"/>
  <c r="BF73" i="9"/>
  <c r="BF71" i="9"/>
  <c r="BF65" i="9"/>
  <c r="BF247" i="9"/>
  <c r="BF60" i="9"/>
  <c r="BF9" i="9"/>
  <c r="BF58" i="9"/>
  <c r="BF57" i="9"/>
  <c r="BF55" i="9"/>
  <c r="BF54" i="9"/>
  <c r="BF52" i="9"/>
  <c r="BF51" i="9"/>
  <c r="BF49" i="9"/>
  <c r="BF48" i="9"/>
  <c r="BF46" i="9"/>
  <c r="BF45" i="9"/>
  <c r="BF20" i="9"/>
  <c r="BF18" i="9"/>
  <c r="BF8" i="9"/>
  <c r="BC229" i="9"/>
  <c r="BE228" i="9"/>
  <c r="BD228" i="9"/>
  <c r="BC228" i="9"/>
  <c r="BE227" i="9"/>
  <c r="BD227" i="9"/>
  <c r="BC227" i="9"/>
  <c r="BE226" i="9"/>
  <c r="BD226" i="9"/>
  <c r="BC226" i="9"/>
  <c r="BE225" i="9"/>
  <c r="BD225" i="9"/>
  <c r="BC225" i="9"/>
  <c r="BE224" i="9"/>
  <c r="BD224" i="9"/>
  <c r="BC224" i="9"/>
  <c r="BE223" i="9"/>
  <c r="BD223" i="9"/>
  <c r="BC223" i="9"/>
  <c r="BD258" i="9"/>
  <c r="BC258" i="9"/>
  <c r="BR258" i="9"/>
  <c r="BD236" i="9"/>
  <c r="BC236" i="9"/>
  <c r="BD235" i="9"/>
  <c r="BC235" i="9"/>
  <c r="BD217" i="9"/>
  <c r="BC217" i="9"/>
  <c r="BE216" i="9"/>
  <c r="BE214" i="9"/>
  <c r="BE213" i="9"/>
  <c r="BE208" i="9"/>
  <c r="BE207" i="9"/>
  <c r="BD204" i="9"/>
  <c r="BD209" i="9"/>
  <c r="BD219" i="9"/>
  <c r="BC204" i="9"/>
  <c r="BC209" i="9"/>
  <c r="BE203" i="9"/>
  <c r="BE201" i="9"/>
  <c r="BE200" i="9"/>
  <c r="BE199" i="9"/>
  <c r="BE196" i="9"/>
  <c r="BE195" i="9"/>
  <c r="BE194" i="9"/>
  <c r="BD191" i="9"/>
  <c r="BD197" i="9"/>
  <c r="BC191" i="9"/>
  <c r="BC197" i="9"/>
  <c r="BE190" i="9"/>
  <c r="BE189" i="9"/>
  <c r="BN189" i="9"/>
  <c r="BO189" i="9"/>
  <c r="BP189" i="9"/>
  <c r="BQ189" i="9"/>
  <c r="BR189" i="9"/>
  <c r="BS189" i="9"/>
  <c r="BT189" i="9"/>
  <c r="BE188" i="9"/>
  <c r="BE187" i="9"/>
  <c r="BE186" i="9"/>
  <c r="BE174" i="9"/>
  <c r="BD172" i="9"/>
  <c r="BC172" i="9"/>
  <c r="BE171" i="9"/>
  <c r="BE170" i="9"/>
  <c r="BE169" i="9"/>
  <c r="BE168" i="9"/>
  <c r="BE167" i="9"/>
  <c r="BE165" i="9"/>
  <c r="BE162" i="9"/>
  <c r="BE161" i="9"/>
  <c r="BE160" i="9"/>
  <c r="BE159" i="9"/>
  <c r="BE158" i="9"/>
  <c r="BD154" i="9"/>
  <c r="BC154" i="9"/>
  <c r="BE152" i="9"/>
  <c r="BE151" i="9"/>
  <c r="BE150" i="9"/>
  <c r="BE20" i="9"/>
  <c r="BE138" i="9"/>
  <c r="BD138" i="9"/>
  <c r="BC138" i="9"/>
  <c r="BC145" i="9" s="1"/>
  <c r="BC147" i="9" s="1"/>
  <c r="BE131" i="9"/>
  <c r="BD131" i="9"/>
  <c r="BD19" i="9" s="1"/>
  <c r="BD22" i="9" s="1"/>
  <c r="BD23" i="9" s="1"/>
  <c r="BC131" i="9"/>
  <c r="BE125" i="9"/>
  <c r="BD124" i="9"/>
  <c r="BD126" i="9"/>
  <c r="BC124" i="9"/>
  <c r="BC126" i="9"/>
  <c r="BC21" i="9"/>
  <c r="BD120" i="9"/>
  <c r="BC120" i="9"/>
  <c r="BD118" i="9"/>
  <c r="BE117" i="9"/>
  <c r="BE18" i="9"/>
  <c r="BD117" i="9"/>
  <c r="BC117" i="9"/>
  <c r="BE110" i="9"/>
  <c r="BD108" i="9"/>
  <c r="BC108" i="9"/>
  <c r="BD107" i="9"/>
  <c r="BC107" i="9"/>
  <c r="BD103" i="9"/>
  <c r="BC103" i="9"/>
  <c r="BE93" i="9"/>
  <c r="BE91" i="9"/>
  <c r="BE124" i="9"/>
  <c r="BE126" i="9"/>
  <c r="BE78" i="9"/>
  <c r="BE76" i="9"/>
  <c r="BE75" i="9"/>
  <c r="BD73" i="9"/>
  <c r="BC73" i="9"/>
  <c r="BE72" i="9"/>
  <c r="BE108" i="9"/>
  <c r="BD71" i="9"/>
  <c r="BC71" i="9"/>
  <c r="BE70" i="9"/>
  <c r="BE107" i="9"/>
  <c r="BD65" i="9"/>
  <c r="BD247" i="9"/>
  <c r="BC65" i="9"/>
  <c r="BC67" i="9"/>
  <c r="BE64" i="9"/>
  <c r="BE65" i="9"/>
  <c r="BD60" i="9"/>
  <c r="BC60" i="9"/>
  <c r="BE59" i="9"/>
  <c r="BE58" i="9"/>
  <c r="BE258" i="9"/>
  <c r="BD58" i="9"/>
  <c r="BC58" i="9"/>
  <c r="BE57" i="9"/>
  <c r="BD57" i="9"/>
  <c r="BC57" i="9"/>
  <c r="BD55" i="9"/>
  <c r="BC55" i="9"/>
  <c r="BE54" i="9"/>
  <c r="BD54" i="9"/>
  <c r="BC54" i="9"/>
  <c r="BE52" i="9"/>
  <c r="BD52" i="9"/>
  <c r="BC52" i="9"/>
  <c r="BE51" i="9"/>
  <c r="BD51" i="9"/>
  <c r="BC51" i="9"/>
  <c r="BD49" i="9"/>
  <c r="BC49" i="9"/>
  <c r="BE48" i="9"/>
  <c r="BD48" i="9"/>
  <c r="BC48" i="9"/>
  <c r="BE46" i="9"/>
  <c r="BD46" i="9"/>
  <c r="BC46" i="9"/>
  <c r="BE45" i="9"/>
  <c r="BD45" i="9"/>
  <c r="BC45" i="9"/>
  <c r="BD20" i="9"/>
  <c r="BC20" i="9"/>
  <c r="BE19" i="9"/>
  <c r="BC18" i="9"/>
  <c r="BD9" i="9"/>
  <c r="BC9" i="9"/>
  <c r="BE8" i="9"/>
  <c r="BD8" i="9"/>
  <c r="BC8" i="9"/>
  <c r="BB16" i="10"/>
  <c r="BB229" i="9"/>
  <c r="BB228" i="9"/>
  <c r="BB227" i="9"/>
  <c r="BB226" i="9"/>
  <c r="BB225" i="9"/>
  <c r="BB224" i="9"/>
  <c r="BB223" i="9"/>
  <c r="BB258" i="9"/>
  <c r="BB236" i="9"/>
  <c r="BB235" i="9"/>
  <c r="BB217" i="9"/>
  <c r="BB204" i="9"/>
  <c r="BB209" i="9"/>
  <c r="BB219" i="9"/>
  <c r="BB191" i="9"/>
  <c r="BB197" i="9"/>
  <c r="BB172" i="9"/>
  <c r="BB154" i="9"/>
  <c r="BB138" i="9"/>
  <c r="BB131" i="9"/>
  <c r="BB19" i="9" s="1"/>
  <c r="BB22" i="9" s="1"/>
  <c r="BB23" i="9" s="1"/>
  <c r="BB124" i="9"/>
  <c r="BB126" i="9"/>
  <c r="BB120" i="9"/>
  <c r="BB117" i="9"/>
  <c r="BB108" i="9"/>
  <c r="BB107" i="9"/>
  <c r="BB103" i="9"/>
  <c r="BB73" i="9"/>
  <c r="BB71" i="9"/>
  <c r="BB65" i="9"/>
  <c r="BB247" i="9"/>
  <c r="BB60" i="9"/>
  <c r="BB9" i="9"/>
  <c r="BB58" i="9"/>
  <c r="BB57" i="9"/>
  <c r="BB55" i="9"/>
  <c r="BB54" i="9"/>
  <c r="BB52" i="9"/>
  <c r="BB51" i="9"/>
  <c r="BB49" i="9"/>
  <c r="BB48" i="9"/>
  <c r="BB46" i="9"/>
  <c r="BB45" i="9"/>
  <c r="BB20" i="9"/>
  <c r="BB18" i="9"/>
  <c r="BB8" i="9"/>
  <c r="BA16" i="10"/>
  <c r="AZ16" i="10"/>
  <c r="AZ229" i="9"/>
  <c r="AY16" i="10"/>
  <c r="AX16" i="10"/>
  <c r="AX229" i="9"/>
  <c r="BA229" i="9"/>
  <c r="BA228" i="9"/>
  <c r="BA227" i="9"/>
  <c r="BA226" i="9"/>
  <c r="BA225" i="9"/>
  <c r="BA224" i="9"/>
  <c r="BA223" i="9"/>
  <c r="BA258" i="9"/>
  <c r="BA236" i="9"/>
  <c r="BA235" i="9"/>
  <c r="BA217" i="9"/>
  <c r="BA204" i="9"/>
  <c r="BA209" i="9"/>
  <c r="BA191" i="9"/>
  <c r="BA197" i="9"/>
  <c r="BA172" i="9"/>
  <c r="BA154" i="9"/>
  <c r="BA138" i="9"/>
  <c r="BA131" i="9"/>
  <c r="BA145" i="9" s="1"/>
  <c r="BA147" i="9" s="1"/>
  <c r="BA124" i="9"/>
  <c r="BA126" i="9"/>
  <c r="BA120" i="9"/>
  <c r="BA117" i="9"/>
  <c r="BA18" i="9"/>
  <c r="BA108" i="9"/>
  <c r="BA107" i="9"/>
  <c r="BA103" i="9"/>
  <c r="BA73" i="9"/>
  <c r="BA71" i="9"/>
  <c r="BA65" i="9"/>
  <c r="BA247" i="9"/>
  <c r="BA60" i="9"/>
  <c r="BA9" i="9"/>
  <c r="BA58" i="9"/>
  <c r="BA57" i="9"/>
  <c r="BA55" i="9"/>
  <c r="BA54" i="9"/>
  <c r="BA52" i="9"/>
  <c r="BA51" i="9"/>
  <c r="BA49" i="9"/>
  <c r="BA48" i="9"/>
  <c r="BA46" i="9"/>
  <c r="BA45" i="9"/>
  <c r="BA20" i="9"/>
  <c r="BA8" i="9"/>
  <c r="AY229" i="9"/>
  <c r="AZ228" i="9"/>
  <c r="AY228" i="9"/>
  <c r="AX228" i="9"/>
  <c r="AZ227" i="9"/>
  <c r="AY227" i="9"/>
  <c r="AX227" i="9"/>
  <c r="AZ226" i="9"/>
  <c r="AY226" i="9"/>
  <c r="AX226" i="9"/>
  <c r="AZ225" i="9"/>
  <c r="AY225" i="9"/>
  <c r="AX225" i="9"/>
  <c r="AZ224" i="9"/>
  <c r="AY224" i="9"/>
  <c r="AX224" i="9"/>
  <c r="AZ223" i="9"/>
  <c r="AY223" i="9"/>
  <c r="AX223" i="9"/>
  <c r="AY258" i="9"/>
  <c r="AX258" i="9"/>
  <c r="AY236" i="9"/>
  <c r="AX236" i="9"/>
  <c r="AY235" i="9"/>
  <c r="AX235" i="9"/>
  <c r="AY217" i="9"/>
  <c r="AX217" i="9"/>
  <c r="AZ216" i="9"/>
  <c r="AZ214" i="9"/>
  <c r="AZ213" i="9"/>
  <c r="AZ208" i="9"/>
  <c r="AZ207" i="9"/>
  <c r="AY204" i="9"/>
  <c r="AY209" i="9"/>
  <c r="AY219" i="9"/>
  <c r="AX204" i="9"/>
  <c r="AX209" i="9"/>
  <c r="AZ203" i="9"/>
  <c r="AZ201" i="9"/>
  <c r="AZ200" i="9"/>
  <c r="AZ199" i="9"/>
  <c r="AZ196" i="9"/>
  <c r="AZ195" i="9"/>
  <c r="AZ194" i="9"/>
  <c r="AY191" i="9"/>
  <c r="AY197" i="9"/>
  <c r="AX191" i="9"/>
  <c r="AX197" i="9"/>
  <c r="AZ190" i="9"/>
  <c r="AZ189" i="9"/>
  <c r="AZ188" i="9"/>
  <c r="AZ187" i="9"/>
  <c r="AZ186" i="9"/>
  <c r="AZ174" i="9"/>
  <c r="AY172" i="9"/>
  <c r="AX172" i="9"/>
  <c r="AZ171" i="9"/>
  <c r="AZ170" i="9"/>
  <c r="AZ169" i="9"/>
  <c r="AZ168" i="9"/>
  <c r="AZ167" i="9"/>
  <c r="AZ165" i="9"/>
  <c r="AZ162" i="9"/>
  <c r="AZ161" i="9"/>
  <c r="AZ160" i="9"/>
  <c r="AZ159" i="9"/>
  <c r="AZ158" i="9"/>
  <c r="AY154" i="9"/>
  <c r="AX154" i="9"/>
  <c r="AZ152" i="9"/>
  <c r="AZ151" i="9"/>
  <c r="AZ150" i="9"/>
  <c r="AZ138" i="9"/>
  <c r="AY138" i="9"/>
  <c r="AX138" i="9"/>
  <c r="AZ131" i="9"/>
  <c r="AZ19" i="9"/>
  <c r="AY131" i="9"/>
  <c r="AY19" i="9" s="1"/>
  <c r="AY22" i="9" s="1"/>
  <c r="AY23" i="9" s="1"/>
  <c r="AX131" i="9"/>
  <c r="AX19" i="9" s="1"/>
  <c r="AX22" i="9" s="1"/>
  <c r="AX23" i="9" s="1"/>
  <c r="AZ125" i="9"/>
  <c r="AY124" i="9"/>
  <c r="AY126" i="9"/>
  <c r="AY21" i="9"/>
  <c r="AX124" i="9"/>
  <c r="AX126" i="9"/>
  <c r="AX21" i="9"/>
  <c r="AY120" i="9"/>
  <c r="AX120" i="9"/>
  <c r="AY118" i="9"/>
  <c r="AZ117" i="9"/>
  <c r="AZ18" i="9"/>
  <c r="AY117" i="9"/>
  <c r="AX117" i="9"/>
  <c r="AZ110" i="9"/>
  <c r="AY108" i="9"/>
  <c r="AX108" i="9"/>
  <c r="AY107" i="9"/>
  <c r="AX107" i="9"/>
  <c r="AY103" i="9"/>
  <c r="AX103" i="9"/>
  <c r="AZ93" i="9"/>
  <c r="AZ91" i="9"/>
  <c r="AZ78" i="9"/>
  <c r="AZ76" i="9"/>
  <c r="AZ75" i="9"/>
  <c r="AY73" i="9"/>
  <c r="AX73" i="9"/>
  <c r="AZ72" i="9"/>
  <c r="AY71" i="9"/>
  <c r="AX71" i="9"/>
  <c r="AZ70" i="9"/>
  <c r="AZ107" i="9"/>
  <c r="AY65" i="9"/>
  <c r="AY252" i="9"/>
  <c r="AX65" i="9"/>
  <c r="AX251" i="9"/>
  <c r="AZ64" i="9"/>
  <c r="AZ65" i="9"/>
  <c r="AY60" i="9"/>
  <c r="AY9" i="9"/>
  <c r="AX60" i="9"/>
  <c r="AX9" i="9"/>
  <c r="AZ59" i="9"/>
  <c r="AZ55" i="9"/>
  <c r="AY58" i="9"/>
  <c r="AX58" i="9"/>
  <c r="AZ57" i="9"/>
  <c r="AY57" i="9"/>
  <c r="AX57" i="9"/>
  <c r="AY55" i="9"/>
  <c r="AX55" i="9"/>
  <c r="AZ54" i="9"/>
  <c r="AY54" i="9"/>
  <c r="AX54" i="9"/>
  <c r="AY52" i="9"/>
  <c r="AX52" i="9"/>
  <c r="AZ51" i="9"/>
  <c r="AY51" i="9"/>
  <c r="AX51" i="9"/>
  <c r="AY49" i="9"/>
  <c r="AX49" i="9"/>
  <c r="AZ48" i="9"/>
  <c r="AY48" i="9"/>
  <c r="AX48" i="9"/>
  <c r="AY46" i="9"/>
  <c r="AX46" i="9"/>
  <c r="AZ45" i="9"/>
  <c r="AY45" i="9"/>
  <c r="AX45" i="9"/>
  <c r="AZ20" i="9"/>
  <c r="AY20" i="9"/>
  <c r="AX20" i="9"/>
  <c r="AY18" i="9"/>
  <c r="AX18" i="9"/>
  <c r="AY8" i="9"/>
  <c r="AX8" i="9"/>
  <c r="Q223" i="9"/>
  <c r="R223" i="9"/>
  <c r="S223" i="9"/>
  <c r="T223" i="9"/>
  <c r="U223" i="9"/>
  <c r="V223" i="9"/>
  <c r="W223" i="9"/>
  <c r="X223" i="9"/>
  <c r="Y223" i="9"/>
  <c r="Z223" i="9"/>
  <c r="AA223" i="9"/>
  <c r="AB223" i="9"/>
  <c r="AC223" i="9"/>
  <c r="AD223" i="9"/>
  <c r="AE223" i="9"/>
  <c r="AG223" i="9"/>
  <c r="AH223" i="9"/>
  <c r="AI223" i="9"/>
  <c r="AJ223" i="9"/>
  <c r="AL223" i="9"/>
  <c r="AM223" i="9"/>
  <c r="AN223" i="9"/>
  <c r="AO223" i="9"/>
  <c r="AQ223" i="9"/>
  <c r="AR223" i="9"/>
  <c r="AS223" i="9"/>
  <c r="AT223" i="9"/>
  <c r="AU223" i="9"/>
  <c r="AV223" i="9"/>
  <c r="Q224" i="9"/>
  <c r="R224" i="9"/>
  <c r="S224" i="9"/>
  <c r="T224" i="9"/>
  <c r="U224" i="9"/>
  <c r="V224" i="9"/>
  <c r="W224" i="9"/>
  <c r="X224" i="9"/>
  <c r="Y224" i="9"/>
  <c r="Z224" i="9"/>
  <c r="AA224" i="9"/>
  <c r="AB224" i="9"/>
  <c r="AC224" i="9"/>
  <c r="AD224" i="9"/>
  <c r="AE224" i="9"/>
  <c r="AG224" i="9"/>
  <c r="AH224" i="9"/>
  <c r="AI224" i="9"/>
  <c r="AJ224" i="9"/>
  <c r="AL224" i="9"/>
  <c r="AM224" i="9"/>
  <c r="AN224" i="9"/>
  <c r="AO224" i="9"/>
  <c r="AQ224" i="9"/>
  <c r="AR224" i="9"/>
  <c r="AS224" i="9"/>
  <c r="AT224" i="9"/>
  <c r="AU224" i="9"/>
  <c r="AV224" i="9"/>
  <c r="Q225" i="9"/>
  <c r="R225" i="9"/>
  <c r="S225" i="9"/>
  <c r="T225" i="9"/>
  <c r="U225" i="9"/>
  <c r="V225" i="9"/>
  <c r="W225" i="9"/>
  <c r="X225" i="9"/>
  <c r="Y225" i="9"/>
  <c r="Z225" i="9"/>
  <c r="AA225" i="9"/>
  <c r="AB225" i="9"/>
  <c r="AC225" i="9"/>
  <c r="AD225" i="9"/>
  <c r="AE225" i="9"/>
  <c r="AG225" i="9"/>
  <c r="AH225" i="9"/>
  <c r="AI225" i="9"/>
  <c r="AJ225" i="9"/>
  <c r="AL225" i="9"/>
  <c r="AM225" i="9"/>
  <c r="AN225" i="9"/>
  <c r="AO225" i="9"/>
  <c r="AQ225" i="9"/>
  <c r="AR225" i="9"/>
  <c r="AS225" i="9"/>
  <c r="AT225" i="9"/>
  <c r="AU225" i="9"/>
  <c r="AV225" i="9"/>
  <c r="Q226" i="9"/>
  <c r="R226" i="9"/>
  <c r="S226" i="9"/>
  <c r="T226" i="9"/>
  <c r="U226" i="9"/>
  <c r="V226" i="9"/>
  <c r="W226" i="9"/>
  <c r="X226" i="9"/>
  <c r="Y226" i="9"/>
  <c r="Z226" i="9"/>
  <c r="AA226" i="9"/>
  <c r="AB226" i="9"/>
  <c r="AC226" i="9"/>
  <c r="AD226" i="9"/>
  <c r="AE226" i="9"/>
  <c r="AG226" i="9"/>
  <c r="AH226" i="9"/>
  <c r="AI226" i="9"/>
  <c r="AJ226" i="9"/>
  <c r="AL226" i="9"/>
  <c r="AM226" i="9"/>
  <c r="AN226" i="9"/>
  <c r="AO226" i="9"/>
  <c r="AQ226" i="9"/>
  <c r="AR226" i="9"/>
  <c r="AS226" i="9"/>
  <c r="AT226" i="9"/>
  <c r="AU226" i="9"/>
  <c r="AV226" i="9"/>
  <c r="Q227" i="9"/>
  <c r="R227" i="9"/>
  <c r="S227" i="9"/>
  <c r="T227" i="9"/>
  <c r="U227" i="9"/>
  <c r="V227" i="9"/>
  <c r="W227" i="9"/>
  <c r="X227" i="9"/>
  <c r="Y227" i="9"/>
  <c r="Z227" i="9"/>
  <c r="AA227" i="9"/>
  <c r="AB227" i="9"/>
  <c r="AC227" i="9"/>
  <c r="AD227" i="9"/>
  <c r="AE227" i="9"/>
  <c r="AG227" i="9"/>
  <c r="AH227" i="9"/>
  <c r="AI227" i="9"/>
  <c r="AJ227" i="9"/>
  <c r="AL227" i="9"/>
  <c r="AM227" i="9"/>
  <c r="AN227" i="9"/>
  <c r="AO227" i="9"/>
  <c r="AQ227" i="9"/>
  <c r="AR227" i="9"/>
  <c r="AS227" i="9"/>
  <c r="AT227" i="9"/>
  <c r="AU227" i="9"/>
  <c r="AV227" i="9"/>
  <c r="Q228" i="9"/>
  <c r="R228" i="9"/>
  <c r="S228" i="9"/>
  <c r="T228" i="9"/>
  <c r="U228" i="9"/>
  <c r="V228" i="9"/>
  <c r="W228" i="9"/>
  <c r="X228" i="9"/>
  <c r="Y228" i="9"/>
  <c r="Z228" i="9"/>
  <c r="AA228" i="9"/>
  <c r="AB228" i="9"/>
  <c r="AC228" i="9"/>
  <c r="AD228" i="9"/>
  <c r="AE228" i="9"/>
  <c r="AG228" i="9"/>
  <c r="AH228" i="9"/>
  <c r="AI228" i="9"/>
  <c r="AJ228" i="9"/>
  <c r="AL228" i="9"/>
  <c r="AM228" i="9"/>
  <c r="AN228" i="9"/>
  <c r="AO228" i="9"/>
  <c r="AQ228" i="9"/>
  <c r="AR228" i="9"/>
  <c r="AS228" i="9"/>
  <c r="AT228" i="9"/>
  <c r="AU228" i="9"/>
  <c r="AV228" i="9"/>
  <c r="AW224" i="9"/>
  <c r="AW225" i="9"/>
  <c r="AW226" i="9"/>
  <c r="AW227" i="9"/>
  <c r="AW228" i="9"/>
  <c r="AW223" i="9"/>
  <c r="B224" i="9"/>
  <c r="B225" i="9"/>
  <c r="B226" i="9"/>
  <c r="B227" i="9"/>
  <c r="B228" i="9"/>
  <c r="B229" i="9"/>
  <c r="B223" i="9"/>
  <c r="AT10" i="7"/>
  <c r="AW258" i="9"/>
  <c r="AV258" i="9"/>
  <c r="AW236" i="9"/>
  <c r="AV236" i="9"/>
  <c r="AW235" i="9"/>
  <c r="AV235" i="9"/>
  <c r="AW217" i="9"/>
  <c r="AV217" i="9"/>
  <c r="AW204" i="9"/>
  <c r="AW209" i="9"/>
  <c r="AW219" i="9"/>
  <c r="AV204" i="9"/>
  <c r="AV209" i="9"/>
  <c r="AW191" i="9"/>
  <c r="AW197" i="9"/>
  <c r="AV191" i="9"/>
  <c r="AV197" i="9"/>
  <c r="AW172" i="9"/>
  <c r="AV172" i="9"/>
  <c r="AW154" i="9"/>
  <c r="AV154" i="9"/>
  <c r="AW138" i="9"/>
  <c r="AV138" i="9"/>
  <c r="AW131" i="9"/>
  <c r="AV131" i="9"/>
  <c r="AV19" i="9" s="1"/>
  <c r="AV22" i="9" s="1"/>
  <c r="AV23" i="9" s="1"/>
  <c r="AW124" i="9"/>
  <c r="AW126" i="9"/>
  <c r="AW21" i="9"/>
  <c r="AV124" i="9"/>
  <c r="AV126" i="9"/>
  <c r="AW120" i="9"/>
  <c r="AV120" i="9"/>
  <c r="AW117" i="9"/>
  <c r="AW18" i="9"/>
  <c r="AV117" i="9"/>
  <c r="AV18" i="9"/>
  <c r="AW108" i="9"/>
  <c r="AV108" i="9"/>
  <c r="AW107" i="9"/>
  <c r="AV107" i="9"/>
  <c r="AW103" i="9"/>
  <c r="AV103" i="9"/>
  <c r="AW73" i="9"/>
  <c r="AV73" i="9"/>
  <c r="AW71" i="9"/>
  <c r="AV71" i="9"/>
  <c r="AW65" i="9"/>
  <c r="AW251" i="9"/>
  <c r="AV65" i="9"/>
  <c r="AV67" i="9"/>
  <c r="AW60" i="9"/>
  <c r="AW9" i="9"/>
  <c r="AV60" i="9"/>
  <c r="AW58" i="9"/>
  <c r="AV58" i="9"/>
  <c r="AW57" i="9"/>
  <c r="AV57" i="9"/>
  <c r="AW55" i="9"/>
  <c r="AV55" i="9"/>
  <c r="AW54" i="9"/>
  <c r="AV54" i="9"/>
  <c r="AW52" i="9"/>
  <c r="AV52" i="9"/>
  <c r="AW51" i="9"/>
  <c r="AV51" i="9"/>
  <c r="AW49" i="9"/>
  <c r="AV49" i="9"/>
  <c r="AW48" i="9"/>
  <c r="AV48" i="9"/>
  <c r="AW46" i="9"/>
  <c r="AV46" i="9"/>
  <c r="AW45" i="9"/>
  <c r="AV45" i="9"/>
  <c r="AW20" i="9"/>
  <c r="AV20" i="9"/>
  <c r="AV9" i="9"/>
  <c r="AW8" i="9"/>
  <c r="AV8" i="9"/>
  <c r="AT258" i="9"/>
  <c r="AT236" i="9"/>
  <c r="AT235" i="9"/>
  <c r="AT217" i="9"/>
  <c r="AU216" i="9"/>
  <c r="AU214" i="9"/>
  <c r="AU213" i="9"/>
  <c r="AU217" i="9"/>
  <c r="AU208" i="9"/>
  <c r="AU207" i="9"/>
  <c r="AT204" i="9"/>
  <c r="AT209" i="9"/>
  <c r="AT219" i="9"/>
  <c r="AU203" i="9"/>
  <c r="AU201" i="9"/>
  <c r="AU200" i="9"/>
  <c r="AU199" i="9"/>
  <c r="AU196" i="9"/>
  <c r="AU195" i="9"/>
  <c r="AU194" i="9"/>
  <c r="AT191" i="9"/>
  <c r="AT197" i="9"/>
  <c r="AT220" i="9"/>
  <c r="AU190" i="9"/>
  <c r="AU189" i="9"/>
  <c r="AU188" i="9"/>
  <c r="AU187" i="9"/>
  <c r="AU186" i="9"/>
  <c r="AU174" i="9"/>
  <c r="AT172" i="9"/>
  <c r="AU171" i="9"/>
  <c r="AU170" i="9"/>
  <c r="AU169" i="9"/>
  <c r="AU168" i="9"/>
  <c r="AU167" i="9"/>
  <c r="AU165" i="9"/>
  <c r="AU162" i="9"/>
  <c r="AU161" i="9"/>
  <c r="AU160" i="9"/>
  <c r="AU159" i="9"/>
  <c r="AU158" i="9"/>
  <c r="AT154" i="9"/>
  <c r="AU152" i="9"/>
  <c r="AU151" i="9"/>
  <c r="AU150" i="9"/>
  <c r="AU20" i="9"/>
  <c r="AU138" i="9"/>
  <c r="AT138" i="9"/>
  <c r="AU131" i="9"/>
  <c r="AT131" i="9"/>
  <c r="AU125" i="9"/>
  <c r="AT124" i="9"/>
  <c r="AT126" i="9"/>
  <c r="AT21" i="9"/>
  <c r="AT120" i="9"/>
  <c r="AT118" i="9"/>
  <c r="AU117" i="9"/>
  <c r="AU18" i="9"/>
  <c r="AT117" i="9"/>
  <c r="AT18" i="9"/>
  <c r="AU110" i="9"/>
  <c r="AT108" i="9"/>
  <c r="AT107" i="9"/>
  <c r="AT103" i="9"/>
  <c r="AU93" i="9"/>
  <c r="AU91" i="9"/>
  <c r="AU78" i="9"/>
  <c r="AU76" i="9"/>
  <c r="AU75" i="9"/>
  <c r="AT73" i="9"/>
  <c r="AU72" i="9"/>
  <c r="AU108" i="9"/>
  <c r="AT71" i="9"/>
  <c r="AU70" i="9"/>
  <c r="AU107" i="9"/>
  <c r="AT65" i="9"/>
  <c r="AT67" i="9"/>
  <c r="AU64" i="9"/>
  <c r="AU65" i="9"/>
  <c r="AT60" i="9"/>
  <c r="AT9" i="9"/>
  <c r="AU59" i="9"/>
  <c r="AT58" i="9"/>
  <c r="AU57" i="9"/>
  <c r="AT57" i="9"/>
  <c r="AT55" i="9"/>
  <c r="AU54" i="9"/>
  <c r="AT54" i="9"/>
  <c r="AT52" i="9"/>
  <c r="AU51" i="9"/>
  <c r="AT51" i="9"/>
  <c r="AT49" i="9"/>
  <c r="AU48" i="9"/>
  <c r="AT48" i="9"/>
  <c r="AT46" i="9"/>
  <c r="AU45" i="9"/>
  <c r="AT45" i="9"/>
  <c r="AT20" i="9"/>
  <c r="AU19" i="9"/>
  <c r="AT8" i="9"/>
  <c r="AS16" i="10"/>
  <c r="AS229" i="9"/>
  <c r="AS258" i="9"/>
  <c r="AS236" i="9"/>
  <c r="AS235" i="9"/>
  <c r="AS217" i="9"/>
  <c r="AS204" i="9"/>
  <c r="AS209" i="9"/>
  <c r="AS191" i="9"/>
  <c r="AS197" i="9"/>
  <c r="AS172" i="9"/>
  <c r="AS154" i="9"/>
  <c r="AS138" i="9"/>
  <c r="AS131" i="9"/>
  <c r="AS19" i="9" s="1"/>
  <c r="AS22" i="9" s="1"/>
  <c r="AS23" i="9" s="1"/>
  <c r="AS124" i="9"/>
  <c r="AS126" i="9"/>
  <c r="AS120" i="9"/>
  <c r="AS117" i="9"/>
  <c r="AS108" i="9"/>
  <c r="AS107" i="9"/>
  <c r="AS103" i="9"/>
  <c r="AS73" i="9"/>
  <c r="AS71" i="9"/>
  <c r="AS65" i="9"/>
  <c r="AS240" i="9"/>
  <c r="AS60" i="9"/>
  <c r="AS9" i="9"/>
  <c r="AS58" i="9"/>
  <c r="AS57" i="9"/>
  <c r="AS55" i="9"/>
  <c r="AS54" i="9"/>
  <c r="AS52" i="9"/>
  <c r="AS51" i="9"/>
  <c r="AS49" i="9"/>
  <c r="AS48" i="9"/>
  <c r="AS46" i="9"/>
  <c r="AS45" i="9"/>
  <c r="AS20" i="9"/>
  <c r="AS18" i="9"/>
  <c r="AS8" i="9"/>
  <c r="AR258" i="9"/>
  <c r="AR236" i="9"/>
  <c r="AR235" i="9"/>
  <c r="AR217" i="9"/>
  <c r="AR204" i="9"/>
  <c r="AR209" i="9"/>
  <c r="AR191" i="9"/>
  <c r="AR197" i="9"/>
  <c r="AR172" i="9"/>
  <c r="AR154" i="9"/>
  <c r="AR138" i="9"/>
  <c r="AR131" i="9"/>
  <c r="AR19" i="9"/>
  <c r="AR22" i="9" s="1"/>
  <c r="AR23" i="9" s="1"/>
  <c r="AR124" i="9"/>
  <c r="AR126" i="9"/>
  <c r="AR120" i="9"/>
  <c r="AR117" i="9"/>
  <c r="AR18" i="9"/>
  <c r="AR108" i="9"/>
  <c r="AR107" i="9"/>
  <c r="AR103" i="9"/>
  <c r="AR73" i="9"/>
  <c r="AR71" i="9"/>
  <c r="AR65" i="9"/>
  <c r="AR248" i="9"/>
  <c r="AR60" i="9"/>
  <c r="AR9" i="9"/>
  <c r="AR58" i="9"/>
  <c r="AR57" i="9"/>
  <c r="AR55" i="9"/>
  <c r="AR54" i="9"/>
  <c r="AR52" i="9"/>
  <c r="AR51" i="9"/>
  <c r="AR49" i="9"/>
  <c r="AR48" i="9"/>
  <c r="AR46" i="9"/>
  <c r="AR45" i="9"/>
  <c r="AR20" i="9"/>
  <c r="AR8" i="9"/>
  <c r="AO10" i="7"/>
  <c r="AR16" i="10"/>
  <c r="AR229" i="9"/>
  <c r="AP10" i="10"/>
  <c r="AP223" i="9"/>
  <c r="AK15" i="10"/>
  <c r="AK228" i="9"/>
  <c r="AK14" i="10"/>
  <c r="AK227" i="9"/>
  <c r="AK13" i="10"/>
  <c r="AK226" i="9"/>
  <c r="AK12" i="10"/>
  <c r="AK225" i="9"/>
  <c r="AK11" i="10"/>
  <c r="AK224" i="9"/>
  <c r="AK10" i="10"/>
  <c r="AK223" i="9"/>
  <c r="AF15" i="10"/>
  <c r="AF228" i="9"/>
  <c r="AF14" i="10"/>
  <c r="AF227" i="9"/>
  <c r="AF13" i="10"/>
  <c r="AF226" i="9"/>
  <c r="AF12" i="10"/>
  <c r="AF225" i="9"/>
  <c r="AF11" i="10"/>
  <c r="AF224" i="9"/>
  <c r="AF10" i="10"/>
  <c r="AF223" i="9"/>
  <c r="B39" i="53"/>
  <c r="B37" i="53"/>
  <c r="B35" i="53"/>
  <c r="B33" i="53"/>
  <c r="B31" i="53"/>
  <c r="A1" i="19"/>
  <c r="A1" i="24"/>
  <c r="A1" i="14"/>
  <c r="A1" i="7"/>
  <c r="A1" i="40"/>
  <c r="A1" i="45"/>
  <c r="A1" i="44"/>
  <c r="A1" i="54"/>
  <c r="A1" i="55"/>
  <c r="I10" i="54"/>
  <c r="I11" i="54"/>
  <c r="I12" i="54"/>
  <c r="I13" i="54"/>
  <c r="I14" i="54"/>
  <c r="I15" i="54"/>
  <c r="I16" i="54"/>
  <c r="I17" i="54"/>
  <c r="I18" i="54"/>
  <c r="I19" i="54"/>
  <c r="I20" i="54"/>
  <c r="I21" i="54"/>
  <c r="I22" i="54"/>
  <c r="I23" i="54"/>
  <c r="I24" i="54"/>
  <c r="I25" i="54"/>
  <c r="I26" i="54"/>
  <c r="I27" i="54"/>
  <c r="I28" i="54"/>
  <c r="E10" i="54"/>
  <c r="E11" i="54"/>
  <c r="E12" i="54"/>
  <c r="E13" i="54"/>
  <c r="E14" i="54"/>
  <c r="E15" i="54"/>
  <c r="E16" i="54"/>
  <c r="E17" i="54"/>
  <c r="E18" i="54"/>
  <c r="E19" i="54"/>
  <c r="E20" i="54"/>
  <c r="E21" i="54"/>
  <c r="E22" i="54"/>
  <c r="E23" i="54"/>
  <c r="E24" i="54"/>
  <c r="E25" i="54"/>
  <c r="E26" i="54"/>
  <c r="E27" i="54"/>
  <c r="E28" i="54"/>
  <c r="A10" i="54"/>
  <c r="A11" i="54"/>
  <c r="A12" i="54"/>
  <c r="A13" i="54"/>
  <c r="A14" i="54"/>
  <c r="A15" i="54"/>
  <c r="A16" i="54"/>
  <c r="A17" i="54"/>
  <c r="A18" i="54"/>
  <c r="A19" i="54"/>
  <c r="A20" i="54"/>
  <c r="A21" i="54"/>
  <c r="A22" i="54"/>
  <c r="A23" i="54"/>
  <c r="A24" i="54"/>
  <c r="A25" i="54"/>
  <c r="A26" i="54"/>
  <c r="A27" i="54"/>
  <c r="A28" i="54"/>
  <c r="A1" i="20"/>
  <c r="B2" i="10"/>
  <c r="A1" i="43"/>
  <c r="A1" i="13"/>
  <c r="A1" i="18"/>
  <c r="B2" i="9"/>
  <c r="B1" i="17"/>
  <c r="I30" i="53"/>
  <c r="H29" i="53"/>
  <c r="L29" i="53"/>
  <c r="L30" i="53"/>
  <c r="E28" i="53"/>
  <c r="F28" i="53"/>
  <c r="D24" i="53"/>
  <c r="F23" i="53"/>
  <c r="F24" i="53"/>
  <c r="F25" i="53"/>
  <c r="B21" i="53"/>
  <c r="D16" i="53"/>
  <c r="I15" i="53"/>
  <c r="I16" i="53"/>
  <c r="D13" i="53"/>
  <c r="D18" i="53" s="1"/>
  <c r="I12" i="53"/>
  <c r="I11" i="53"/>
  <c r="I10" i="53"/>
  <c r="B4" i="53"/>
  <c r="M2" i="53"/>
  <c r="H15" i="53" s="1"/>
  <c r="A8" i="9"/>
  <c r="A9" i="9" s="1"/>
  <c r="A10" i="9" s="1"/>
  <c r="A11" i="9" s="1"/>
  <c r="A12" i="9" s="1"/>
  <c r="A13" i="9" s="1"/>
  <c r="A14" i="9" s="1"/>
  <c r="E7" i="9"/>
  <c r="AQ258" i="9"/>
  <c r="AQ236" i="9"/>
  <c r="AQ235" i="9"/>
  <c r="AQ217" i="9"/>
  <c r="AQ204" i="9"/>
  <c r="AQ209" i="9"/>
  <c r="AQ191" i="9"/>
  <c r="AQ197" i="9"/>
  <c r="AQ172" i="9"/>
  <c r="AQ154" i="9"/>
  <c r="AQ138" i="9"/>
  <c r="AQ131" i="9"/>
  <c r="AQ124" i="9"/>
  <c r="AQ126" i="9"/>
  <c r="AQ120" i="9"/>
  <c r="AQ117" i="9"/>
  <c r="AQ18" i="9"/>
  <c r="AQ108" i="9"/>
  <c r="AQ107" i="9"/>
  <c r="AQ103" i="9"/>
  <c r="AQ73" i="9"/>
  <c r="AQ71" i="9"/>
  <c r="AQ65" i="9"/>
  <c r="AQ67" i="9"/>
  <c r="AQ60" i="9"/>
  <c r="AQ9" i="9"/>
  <c r="AQ58" i="9"/>
  <c r="AQ57" i="9"/>
  <c r="AQ55" i="9"/>
  <c r="AQ54" i="9"/>
  <c r="AQ52" i="9"/>
  <c r="AQ51" i="9"/>
  <c r="AQ49" i="9"/>
  <c r="AQ48" i="9"/>
  <c r="AQ46" i="9"/>
  <c r="AQ45" i="9"/>
  <c r="AQ20" i="9"/>
  <c r="AQ8" i="9"/>
  <c r="AO258" i="9"/>
  <c r="AN258" i="9"/>
  <c r="AM258" i="9"/>
  <c r="AL258" i="9"/>
  <c r="AO236" i="9"/>
  <c r="AN236" i="9"/>
  <c r="AM236" i="9"/>
  <c r="AL236" i="9"/>
  <c r="AO235" i="9"/>
  <c r="AN235" i="9"/>
  <c r="AM235" i="9"/>
  <c r="AL235" i="9"/>
  <c r="AO217" i="9"/>
  <c r="AN217" i="9"/>
  <c r="AM217" i="9"/>
  <c r="AL217" i="9"/>
  <c r="AP216" i="9"/>
  <c r="AP214" i="9"/>
  <c r="AP213" i="9"/>
  <c r="AP208" i="9"/>
  <c r="AP207" i="9"/>
  <c r="AO204" i="9"/>
  <c r="AO209" i="9"/>
  <c r="AN204" i="9"/>
  <c r="AN209" i="9"/>
  <c r="AM204" i="9"/>
  <c r="AM209" i="9"/>
  <c r="AL204" i="9"/>
  <c r="AL209" i="9"/>
  <c r="AP203" i="9"/>
  <c r="AP201" i="9"/>
  <c r="AP200" i="9"/>
  <c r="AP199" i="9"/>
  <c r="AP196" i="9"/>
  <c r="AP195" i="9"/>
  <c r="AP194" i="9"/>
  <c r="AO191" i="9"/>
  <c r="AO197" i="9"/>
  <c r="AN191" i="9"/>
  <c r="AN197" i="9"/>
  <c r="AM191" i="9"/>
  <c r="AM197" i="9"/>
  <c r="AL191" i="9"/>
  <c r="AL197" i="9"/>
  <c r="AP190" i="9"/>
  <c r="AP189" i="9"/>
  <c r="AP188" i="9"/>
  <c r="AP187" i="9"/>
  <c r="AP186" i="9"/>
  <c r="AP174" i="9"/>
  <c r="AO172" i="9"/>
  <c r="AN172" i="9"/>
  <c r="AM172" i="9"/>
  <c r="AL172" i="9"/>
  <c r="AP171" i="9"/>
  <c r="AP170" i="9"/>
  <c r="AP169" i="9"/>
  <c r="AP168" i="9"/>
  <c r="AP167" i="9"/>
  <c r="AP165" i="9"/>
  <c r="AP162" i="9"/>
  <c r="AP161" i="9"/>
  <c r="AP160" i="9"/>
  <c r="AP159" i="9"/>
  <c r="AP158" i="9"/>
  <c r="AO154" i="9"/>
  <c r="AN154" i="9"/>
  <c r="AM154" i="9"/>
  <c r="AL154" i="9"/>
  <c r="AP152" i="9"/>
  <c r="AP151" i="9"/>
  <c r="AP150" i="9"/>
  <c r="AP138" i="9"/>
  <c r="AO138" i="9"/>
  <c r="AN138" i="9"/>
  <c r="AM138" i="9"/>
  <c r="AL138" i="9"/>
  <c r="AP131" i="9"/>
  <c r="AP19" i="9" s="1"/>
  <c r="AP22" i="9" s="1"/>
  <c r="AP23" i="9" s="1"/>
  <c r="AP145" i="9"/>
  <c r="AP147" i="9" s="1"/>
  <c r="AO131" i="9"/>
  <c r="AO19" i="9" s="1"/>
  <c r="AO22" i="9" s="1"/>
  <c r="AO23" i="9" s="1"/>
  <c r="AN131" i="9"/>
  <c r="AM131" i="9"/>
  <c r="AM19" i="9" s="1"/>
  <c r="AM22" i="9" s="1"/>
  <c r="AM23" i="9" s="1"/>
  <c r="AL131" i="9"/>
  <c r="AL19" i="9"/>
  <c r="AL22" i="9" s="1"/>
  <c r="AL23" i="9" s="1"/>
  <c r="AP125" i="9"/>
  <c r="AO124" i="9"/>
  <c r="AO126" i="9"/>
  <c r="AO21" i="9"/>
  <c r="AN124" i="9"/>
  <c r="AN126" i="9"/>
  <c r="AN21" i="9"/>
  <c r="AM124" i="9"/>
  <c r="AM126" i="9"/>
  <c r="AM21" i="9"/>
  <c r="AL124" i="9"/>
  <c r="AL126" i="9"/>
  <c r="AL21" i="9"/>
  <c r="AO120" i="9"/>
  <c r="AN120" i="9"/>
  <c r="AM120" i="9"/>
  <c r="AL120" i="9"/>
  <c r="AO118" i="9"/>
  <c r="AP117" i="9"/>
  <c r="AP18" i="9"/>
  <c r="AO117" i="9"/>
  <c r="AN117" i="9"/>
  <c r="AN18" i="9"/>
  <c r="AM117" i="9"/>
  <c r="AM18" i="9"/>
  <c r="AL117" i="9"/>
  <c r="AL18" i="9"/>
  <c r="AP110" i="9"/>
  <c r="AO108" i="9"/>
  <c r="AN108" i="9"/>
  <c r="AM108" i="9"/>
  <c r="AL108" i="9"/>
  <c r="AO107" i="9"/>
  <c r="AN107" i="9"/>
  <c r="AM107" i="9"/>
  <c r="AL107" i="9"/>
  <c r="AO103" i="9"/>
  <c r="AN103" i="9"/>
  <c r="AM103" i="9"/>
  <c r="AL103" i="9"/>
  <c r="AP93" i="9"/>
  <c r="AP91" i="9"/>
  <c r="AP78" i="9"/>
  <c r="AP76" i="9"/>
  <c r="AP75" i="9"/>
  <c r="AO73" i="9"/>
  <c r="AN73" i="9"/>
  <c r="AM73" i="9"/>
  <c r="AL73" i="9"/>
  <c r="AP72" i="9"/>
  <c r="AP108" i="9"/>
  <c r="AO71" i="9"/>
  <c r="AN71" i="9"/>
  <c r="AM71" i="9"/>
  <c r="AL71" i="9"/>
  <c r="AP70" i="9"/>
  <c r="AO65" i="9"/>
  <c r="AN65" i="9"/>
  <c r="AN67" i="9"/>
  <c r="AM65" i="9"/>
  <c r="AL65" i="9"/>
  <c r="AL251" i="9"/>
  <c r="AP64" i="9"/>
  <c r="AP65" i="9"/>
  <c r="AP240" i="9"/>
  <c r="AO60" i="9"/>
  <c r="AO9" i="9"/>
  <c r="AN60" i="9"/>
  <c r="AN9" i="9"/>
  <c r="AM60" i="9"/>
  <c r="AM9" i="9"/>
  <c r="AL60" i="9"/>
  <c r="AL9" i="9"/>
  <c r="AP59" i="9"/>
  <c r="AO58" i="9"/>
  <c r="AN58" i="9"/>
  <c r="AM58" i="9"/>
  <c r="AL58" i="9"/>
  <c r="AP57" i="9"/>
  <c r="AO57" i="9"/>
  <c r="AN57" i="9"/>
  <c r="AM57" i="9"/>
  <c r="AL57" i="9"/>
  <c r="AO55" i="9"/>
  <c r="AN55" i="9"/>
  <c r="AM55" i="9"/>
  <c r="AL55" i="9"/>
  <c r="AP54" i="9"/>
  <c r="AO54" i="9"/>
  <c r="AN54" i="9"/>
  <c r="AM54" i="9"/>
  <c r="AL54" i="9"/>
  <c r="AO52" i="9"/>
  <c r="AN52" i="9"/>
  <c r="AM52" i="9"/>
  <c r="AL52" i="9"/>
  <c r="AP51" i="9"/>
  <c r="AO51" i="9"/>
  <c r="AN51" i="9"/>
  <c r="AM51" i="9"/>
  <c r="AL51" i="9"/>
  <c r="AO49" i="9"/>
  <c r="AN49" i="9"/>
  <c r="AM49" i="9"/>
  <c r="AL49" i="9"/>
  <c r="AP48" i="9"/>
  <c r="AO48" i="9"/>
  <c r="AN48" i="9"/>
  <c r="AM48" i="9"/>
  <c r="AL48" i="9"/>
  <c r="AO46" i="9"/>
  <c r="AN46" i="9"/>
  <c r="AM46" i="9"/>
  <c r="AL46" i="9"/>
  <c r="AP45" i="9"/>
  <c r="AO45" i="9"/>
  <c r="AN45" i="9"/>
  <c r="AM45" i="9"/>
  <c r="AL45" i="9"/>
  <c r="AO20" i="9"/>
  <c r="AN20" i="9"/>
  <c r="AM20" i="9"/>
  <c r="AL20" i="9"/>
  <c r="AO8" i="9"/>
  <c r="AN8" i="9"/>
  <c r="AM8" i="9"/>
  <c r="AL8" i="9"/>
  <c r="AJ258" i="9"/>
  <c r="AI258" i="9"/>
  <c r="AH258" i="9"/>
  <c r="AG258" i="9"/>
  <c r="AJ236" i="9"/>
  <c r="AI236" i="9"/>
  <c r="AH236" i="9"/>
  <c r="AG236" i="9"/>
  <c r="AJ235" i="9"/>
  <c r="AI235" i="9"/>
  <c r="AH235" i="9"/>
  <c r="AG235" i="9"/>
  <c r="AJ217" i="9"/>
  <c r="AI217" i="9"/>
  <c r="AH217" i="9"/>
  <c r="AG217" i="9"/>
  <c r="AK216" i="9"/>
  <c r="AK214" i="9"/>
  <c r="AK213" i="9"/>
  <c r="AK208" i="9"/>
  <c r="AK207" i="9"/>
  <c r="AJ204" i="9"/>
  <c r="AJ209" i="9"/>
  <c r="AI204" i="9"/>
  <c r="AI209" i="9"/>
  <c r="AH204" i="9"/>
  <c r="AH209" i="9"/>
  <c r="AG204" i="9"/>
  <c r="AG209" i="9"/>
  <c r="AK203" i="9"/>
  <c r="AK201" i="9"/>
  <c r="AK200" i="9"/>
  <c r="AK199" i="9"/>
  <c r="AK196" i="9"/>
  <c r="AK195" i="9"/>
  <c r="AK194" i="9"/>
  <c r="AJ191" i="9"/>
  <c r="AJ197" i="9"/>
  <c r="AI191" i="9"/>
  <c r="AI197" i="9"/>
  <c r="AH191" i="9"/>
  <c r="AH197" i="9"/>
  <c r="AG191" i="9"/>
  <c r="AG197" i="9"/>
  <c r="AK190" i="9"/>
  <c r="AK189" i="9"/>
  <c r="AK188" i="9"/>
  <c r="AK187" i="9"/>
  <c r="AK186" i="9"/>
  <c r="AK174" i="9"/>
  <c r="AJ172" i="9"/>
  <c r="AI172" i="9"/>
  <c r="AH172" i="9"/>
  <c r="AG172" i="9"/>
  <c r="AK171" i="9"/>
  <c r="AK170" i="9"/>
  <c r="AK169" i="9"/>
  <c r="AK168" i="9"/>
  <c r="AK167" i="9"/>
  <c r="AK165" i="9"/>
  <c r="AK162" i="9"/>
  <c r="AK161" i="9"/>
  <c r="AK160" i="9"/>
  <c r="AK159" i="9"/>
  <c r="AK158" i="9"/>
  <c r="AJ154" i="9"/>
  <c r="AI154" i="9"/>
  <c r="AH154" i="9"/>
  <c r="AG154" i="9"/>
  <c r="AK152" i="9"/>
  <c r="AK151" i="9"/>
  <c r="AK150" i="9"/>
  <c r="AK138" i="9"/>
  <c r="AJ138" i="9"/>
  <c r="AI138" i="9"/>
  <c r="AH138" i="9"/>
  <c r="AG138" i="9"/>
  <c r="AK131" i="9"/>
  <c r="AJ131" i="9"/>
  <c r="AJ145" i="9" s="1"/>
  <c r="AJ147" i="9" s="1"/>
  <c r="AI131" i="9"/>
  <c r="AI19" i="9"/>
  <c r="AH131" i="9"/>
  <c r="AH19" i="9" s="1"/>
  <c r="AH22" i="9" s="1"/>
  <c r="AH23" i="9" s="1"/>
  <c r="AG131" i="9"/>
  <c r="AG19" i="9"/>
  <c r="AK125" i="9"/>
  <c r="AJ124" i="9"/>
  <c r="AJ126" i="9"/>
  <c r="AI124" i="9"/>
  <c r="AI126" i="9"/>
  <c r="AH124" i="9"/>
  <c r="AH126" i="9"/>
  <c r="AG124" i="9"/>
  <c r="AG126" i="9"/>
  <c r="AJ120" i="9"/>
  <c r="AI120" i="9"/>
  <c r="AH120" i="9"/>
  <c r="AG120" i="9"/>
  <c r="AJ118" i="9"/>
  <c r="AK117" i="9"/>
  <c r="AK18" i="9"/>
  <c r="AJ117" i="9"/>
  <c r="AI117" i="9"/>
  <c r="AI18" i="9"/>
  <c r="AH117" i="9"/>
  <c r="AH18" i="9"/>
  <c r="AG117" i="9"/>
  <c r="AG18" i="9"/>
  <c r="AK110" i="9"/>
  <c r="AJ108" i="9"/>
  <c r="AI108" i="9"/>
  <c r="AH108" i="9"/>
  <c r="AG108" i="9"/>
  <c r="AJ107" i="9"/>
  <c r="AI107" i="9"/>
  <c r="AH107" i="9"/>
  <c r="AG107" i="9"/>
  <c r="AJ103" i="9"/>
  <c r="AI103" i="9"/>
  <c r="AH103" i="9"/>
  <c r="AG103" i="9"/>
  <c r="AK93" i="9"/>
  <c r="AK91" i="9"/>
  <c r="AK78" i="9"/>
  <c r="AK76" i="9"/>
  <c r="AK75" i="9"/>
  <c r="AJ73" i="9"/>
  <c r="AI73" i="9"/>
  <c r="AH73" i="9"/>
  <c r="AG73" i="9"/>
  <c r="AK72" i="9"/>
  <c r="AK108" i="9"/>
  <c r="AJ71" i="9"/>
  <c r="AI71" i="9"/>
  <c r="AH71" i="9"/>
  <c r="AG71" i="9"/>
  <c r="AK70" i="9"/>
  <c r="AK107" i="9"/>
  <c r="AJ65" i="9"/>
  <c r="AJ67" i="9"/>
  <c r="AJ68" i="9"/>
  <c r="AI65" i="9"/>
  <c r="AI67" i="9"/>
  <c r="AI68" i="9"/>
  <c r="AH65" i="9"/>
  <c r="AH67" i="9"/>
  <c r="AH68" i="9"/>
  <c r="AG65" i="9"/>
  <c r="AK64" i="9"/>
  <c r="AK65" i="9"/>
  <c r="AJ60" i="9"/>
  <c r="AJ9" i="9"/>
  <c r="AI60" i="9"/>
  <c r="AI9" i="9"/>
  <c r="AH60" i="9"/>
  <c r="AH9" i="9"/>
  <c r="AG60" i="9"/>
  <c r="AG9" i="9"/>
  <c r="AK59" i="9"/>
  <c r="AJ58" i="9"/>
  <c r="AI58" i="9"/>
  <c r="AH58" i="9"/>
  <c r="AG58" i="9"/>
  <c r="AK57" i="9"/>
  <c r="AJ57" i="9"/>
  <c r="AI57" i="9"/>
  <c r="AH57" i="9"/>
  <c r="AG57" i="9"/>
  <c r="AJ55" i="9"/>
  <c r="AI55" i="9"/>
  <c r="AH55" i="9"/>
  <c r="AG55" i="9"/>
  <c r="AK54" i="9"/>
  <c r="AJ54" i="9"/>
  <c r="AI54" i="9"/>
  <c r="AH54" i="9"/>
  <c r="AG54" i="9"/>
  <c r="AJ52" i="9"/>
  <c r="AI52" i="9"/>
  <c r="AH52" i="9"/>
  <c r="AG52" i="9"/>
  <c r="AK51" i="9"/>
  <c r="AJ51" i="9"/>
  <c r="AI51" i="9"/>
  <c r="AH51" i="9"/>
  <c r="AG51" i="9"/>
  <c r="AJ49" i="9"/>
  <c r="AI49" i="9"/>
  <c r="AH49" i="9"/>
  <c r="AG49" i="9"/>
  <c r="AK48" i="9"/>
  <c r="AJ48" i="9"/>
  <c r="AI48" i="9"/>
  <c r="AH48" i="9"/>
  <c r="AG48" i="9"/>
  <c r="AJ46" i="9"/>
  <c r="AI46" i="9"/>
  <c r="AH46" i="9"/>
  <c r="AG46" i="9"/>
  <c r="AK45" i="9"/>
  <c r="AJ45" i="9"/>
  <c r="AI45" i="9"/>
  <c r="AH45" i="9"/>
  <c r="AG45" i="9"/>
  <c r="AK20" i="9"/>
  <c r="AJ20" i="9"/>
  <c r="AI20" i="9"/>
  <c r="AH20" i="9"/>
  <c r="AG20" i="9"/>
  <c r="AJ8" i="9"/>
  <c r="AI8" i="9"/>
  <c r="AH8" i="9"/>
  <c r="AG8" i="9"/>
  <c r="AE258" i="9"/>
  <c r="AE236" i="9"/>
  <c r="AE235" i="9"/>
  <c r="AE217" i="9"/>
  <c r="AE204" i="9"/>
  <c r="AE209" i="9"/>
  <c r="AE191" i="9"/>
  <c r="AE197" i="9"/>
  <c r="AE172" i="9"/>
  <c r="AE154" i="9"/>
  <c r="AE138" i="9"/>
  <c r="AE131" i="9"/>
  <c r="AE19" i="9" s="1"/>
  <c r="AE22" i="9" s="1"/>
  <c r="AE23" i="9" s="1"/>
  <c r="AE124" i="9"/>
  <c r="AE126" i="9"/>
  <c r="AE21" i="9"/>
  <c r="AE120" i="9"/>
  <c r="AE118" i="9"/>
  <c r="AE117" i="9"/>
  <c r="AE108" i="9"/>
  <c r="AE107" i="9"/>
  <c r="AE103" i="9"/>
  <c r="AE73" i="9"/>
  <c r="AE71" i="9"/>
  <c r="AE65" i="9"/>
  <c r="AE252" i="9"/>
  <c r="AE60" i="9"/>
  <c r="AE9" i="9"/>
  <c r="AE58" i="9"/>
  <c r="AE57" i="9"/>
  <c r="AE55" i="9"/>
  <c r="AE54" i="9"/>
  <c r="AE52" i="9"/>
  <c r="AE51" i="9"/>
  <c r="AE49" i="9"/>
  <c r="AE48" i="9"/>
  <c r="AE46" i="9"/>
  <c r="AE45" i="9"/>
  <c r="AE20" i="9"/>
  <c r="AE8" i="9"/>
  <c r="BO174" i="9"/>
  <c r="BN172" i="9"/>
  <c r="BO171" i="9"/>
  <c r="BO170" i="9"/>
  <c r="BO169" i="9"/>
  <c r="BO168" i="9"/>
  <c r="BO167" i="9"/>
  <c r="BO165" i="9"/>
  <c r="BO162" i="9"/>
  <c r="BO161" i="9"/>
  <c r="BO160" i="9"/>
  <c r="BO159" i="9"/>
  <c r="BO158" i="9"/>
  <c r="BO172" i="9" s="1"/>
  <c r="BO152" i="9"/>
  <c r="BO151" i="9"/>
  <c r="BO138" i="9"/>
  <c r="BO145" i="9" s="1"/>
  <c r="BO147" i="9" s="1"/>
  <c r="BO177" i="9" s="1"/>
  <c r="BO27" i="9" s="1"/>
  <c r="BN138" i="9"/>
  <c r="BN145" i="9" s="1"/>
  <c r="BN147" i="9" s="1"/>
  <c r="BO131" i="9"/>
  <c r="BO19" i="9"/>
  <c r="BN131" i="9"/>
  <c r="BN19" i="9" s="1"/>
  <c r="BN22" i="9" s="1"/>
  <c r="BN23" i="9" s="1"/>
  <c r="BO125" i="9"/>
  <c r="BN120" i="9"/>
  <c r="BO117" i="9"/>
  <c r="BO18" i="9"/>
  <c r="BN117" i="9"/>
  <c r="BN18" i="9"/>
  <c r="BO93" i="9"/>
  <c r="BO78" i="9"/>
  <c r="BO76" i="9"/>
  <c r="BO75" i="9"/>
  <c r="BO57" i="9"/>
  <c r="BN57" i="9"/>
  <c r="BO54" i="9"/>
  <c r="BN54" i="9"/>
  <c r="BO51" i="9"/>
  <c r="BN51" i="9"/>
  <c r="BO48" i="9"/>
  <c r="BN48" i="9"/>
  <c r="BO45" i="9"/>
  <c r="BN45" i="9"/>
  <c r="BN9" i="9"/>
  <c r="BQ258" i="9"/>
  <c r="BR110" i="9"/>
  <c r="BQ110" i="9"/>
  <c r="BR77" i="9"/>
  <c r="BQ77" i="9"/>
  <c r="AD258" i="9"/>
  <c r="AC258" i="9"/>
  <c r="AD65" i="9"/>
  <c r="AD247" i="9"/>
  <c r="AC65" i="9"/>
  <c r="AC247" i="9"/>
  <c r="AD236" i="9"/>
  <c r="AC236" i="9"/>
  <c r="AD235" i="9"/>
  <c r="AC235" i="9"/>
  <c r="AD191" i="9"/>
  <c r="AD197" i="9"/>
  <c r="AD217" i="9"/>
  <c r="AD204" i="9"/>
  <c r="AD209" i="9"/>
  <c r="AC191" i="9"/>
  <c r="AC197" i="9"/>
  <c r="AC217" i="9"/>
  <c r="AC204" i="9"/>
  <c r="AC209" i="9"/>
  <c r="AD103" i="9"/>
  <c r="AD107" i="9"/>
  <c r="AD108" i="9"/>
  <c r="AD117" i="9"/>
  <c r="AD18" i="9"/>
  <c r="AD120" i="9"/>
  <c r="AD124" i="9"/>
  <c r="AD126" i="9"/>
  <c r="AD21" i="9"/>
  <c r="AD131" i="9"/>
  <c r="AD19" i="9"/>
  <c r="AD138" i="9"/>
  <c r="AD145" i="9" s="1"/>
  <c r="AD147" i="9" s="1"/>
  <c r="AD172" i="9"/>
  <c r="AD154" i="9"/>
  <c r="AC103" i="9"/>
  <c r="AC107" i="9"/>
  <c r="AC108" i="9"/>
  <c r="AC117" i="9"/>
  <c r="AC18" i="9"/>
  <c r="AC120" i="9"/>
  <c r="AC124" i="9"/>
  <c r="AC126" i="9"/>
  <c r="AC21" i="9"/>
  <c r="AC131" i="9"/>
  <c r="AC19" i="9"/>
  <c r="AC22" i="9" s="1"/>
  <c r="AC23" i="9" s="1"/>
  <c r="AC138" i="9"/>
  <c r="AC172" i="9"/>
  <c r="AC154" i="9"/>
  <c r="AD73" i="9"/>
  <c r="AC73" i="9"/>
  <c r="AD71" i="9"/>
  <c r="AC71" i="9"/>
  <c r="AD60" i="9"/>
  <c r="AD9" i="9"/>
  <c r="AC60" i="9"/>
  <c r="AC9" i="9"/>
  <c r="AD58" i="9"/>
  <c r="AC58" i="9"/>
  <c r="AD57" i="9"/>
  <c r="AC57" i="9"/>
  <c r="AD55" i="9"/>
  <c r="AC55" i="9"/>
  <c r="AD54" i="9"/>
  <c r="AC54" i="9"/>
  <c r="AD52" i="9"/>
  <c r="AC52" i="9"/>
  <c r="AD51" i="9"/>
  <c r="AC51" i="9"/>
  <c r="AD49" i="9"/>
  <c r="AC49" i="9"/>
  <c r="AD48" i="9"/>
  <c r="AC48" i="9"/>
  <c r="AD46" i="9"/>
  <c r="AC46" i="9"/>
  <c r="AD45" i="9"/>
  <c r="AC45" i="9"/>
  <c r="AD20" i="9"/>
  <c r="AD8" i="9"/>
  <c r="AC20" i="9"/>
  <c r="AC8" i="9"/>
  <c r="AF75" i="9"/>
  <c r="AF76" i="9"/>
  <c r="AF93" i="9"/>
  <c r="AF78" i="9"/>
  <c r="AF158" i="9"/>
  <c r="AF159" i="9"/>
  <c r="AF160" i="9"/>
  <c r="AF161" i="9"/>
  <c r="AF162" i="9"/>
  <c r="AF165" i="9"/>
  <c r="AF167" i="9"/>
  <c r="AF168" i="9"/>
  <c r="AF169" i="9"/>
  <c r="AF170" i="9"/>
  <c r="AF171" i="9"/>
  <c r="AF174" i="9"/>
  <c r="AF213" i="9"/>
  <c r="AF214" i="9"/>
  <c r="AF216" i="9"/>
  <c r="BN216" i="9"/>
  <c r="BO216" i="9"/>
  <c r="BP216" i="9"/>
  <c r="BQ216" i="9"/>
  <c r="BR216" i="9"/>
  <c r="BS216" i="9"/>
  <c r="BT216" i="9"/>
  <c r="AF208" i="9"/>
  <c r="BN208" i="9"/>
  <c r="BO208" i="9"/>
  <c r="BP208" i="9"/>
  <c r="BQ208" i="9"/>
  <c r="BR208" i="9"/>
  <c r="BS208" i="9"/>
  <c r="BT208" i="9"/>
  <c r="AF207" i="9"/>
  <c r="BN207" i="9"/>
  <c r="BO207" i="9"/>
  <c r="BP207" i="9"/>
  <c r="BQ207" i="9"/>
  <c r="BR207" i="9"/>
  <c r="BS207" i="9"/>
  <c r="BT207" i="9"/>
  <c r="AF203" i="9"/>
  <c r="BN203" i="9"/>
  <c r="BO203" i="9"/>
  <c r="BP203" i="9"/>
  <c r="BQ203" i="9"/>
  <c r="BR203" i="9"/>
  <c r="BS203" i="9"/>
  <c r="BT203" i="9"/>
  <c r="AF196" i="9"/>
  <c r="BN196" i="9"/>
  <c r="BO196" i="9"/>
  <c r="BP196" i="9"/>
  <c r="BQ196" i="9"/>
  <c r="BR196" i="9"/>
  <c r="BS196" i="9"/>
  <c r="BT196" i="9"/>
  <c r="AF195" i="9"/>
  <c r="BN195" i="9"/>
  <c r="BO195" i="9"/>
  <c r="BP195" i="9"/>
  <c r="BQ195" i="9"/>
  <c r="BR195" i="9"/>
  <c r="BS195" i="9"/>
  <c r="BT195" i="9"/>
  <c r="AF190" i="9"/>
  <c r="BN190" i="9"/>
  <c r="BO190" i="9"/>
  <c r="BP190" i="9"/>
  <c r="BQ190" i="9"/>
  <c r="BR190" i="9"/>
  <c r="BS190" i="9"/>
  <c r="BT190" i="9"/>
  <c r="AF189" i="9"/>
  <c r="AF186" i="9"/>
  <c r="BN186" i="9"/>
  <c r="BO186" i="9"/>
  <c r="BP186" i="9"/>
  <c r="BQ186" i="9"/>
  <c r="BR186" i="9"/>
  <c r="BS186" i="9"/>
  <c r="BT186" i="9"/>
  <c r="AB103" i="9"/>
  <c r="AB65" i="9"/>
  <c r="AB244" i="9"/>
  <c r="AB107" i="9"/>
  <c r="AB108" i="9"/>
  <c r="AB258" i="9"/>
  <c r="X258" i="9"/>
  <c r="W77" i="9"/>
  <c r="AB77" i="9"/>
  <c r="X65" i="9"/>
  <c r="Q103" i="9"/>
  <c r="Q65" i="9"/>
  <c r="Q107" i="9"/>
  <c r="Q108" i="9"/>
  <c r="Q117" i="9"/>
  <c r="Q18" i="9"/>
  <c r="Q120" i="9"/>
  <c r="Q124" i="9"/>
  <c r="Q126" i="9"/>
  <c r="Q21" i="9"/>
  <c r="Q131" i="9"/>
  <c r="Q19" i="9"/>
  <c r="Q138" i="9"/>
  <c r="Q172" i="9"/>
  <c r="Q154" i="9"/>
  <c r="L103" i="9"/>
  <c r="L65" i="9"/>
  <c r="L104" i="9"/>
  <c r="L107" i="9"/>
  <c r="L108" i="9"/>
  <c r="L117" i="9"/>
  <c r="L18" i="9"/>
  <c r="L120" i="9"/>
  <c r="L124" i="9"/>
  <c r="L126" i="9"/>
  <c r="L21" i="9"/>
  <c r="L131" i="9"/>
  <c r="L19" i="9"/>
  <c r="L138" i="9"/>
  <c r="L145" i="9" s="1"/>
  <c r="L147" i="9" s="1"/>
  <c r="L172" i="9"/>
  <c r="L154" i="9"/>
  <c r="J103" i="9"/>
  <c r="J65" i="9"/>
  <c r="J240" i="9"/>
  <c r="J107" i="9"/>
  <c r="J108" i="9"/>
  <c r="J117" i="9"/>
  <c r="J18" i="9"/>
  <c r="J120" i="9"/>
  <c r="J124" i="9"/>
  <c r="J126" i="9"/>
  <c r="J21" i="9"/>
  <c r="J131" i="9"/>
  <c r="J19" i="9" s="1"/>
  <c r="J22" i="9" s="1"/>
  <c r="J23" i="9" s="1"/>
  <c r="J138" i="9"/>
  <c r="J172" i="9"/>
  <c r="J154" i="9"/>
  <c r="I103" i="9"/>
  <c r="I65" i="9"/>
  <c r="I107" i="9"/>
  <c r="I108" i="9"/>
  <c r="I117" i="9"/>
  <c r="I120" i="9"/>
  <c r="I124" i="9"/>
  <c r="I126" i="9"/>
  <c r="I131" i="9"/>
  <c r="I138" i="9"/>
  <c r="I172" i="9"/>
  <c r="I154" i="9"/>
  <c r="H103" i="9"/>
  <c r="H65" i="9"/>
  <c r="H107" i="9"/>
  <c r="H108" i="9"/>
  <c r="H117" i="9"/>
  <c r="H18" i="9"/>
  <c r="H120" i="9"/>
  <c r="H124" i="9"/>
  <c r="H126" i="9"/>
  <c r="H21" i="9"/>
  <c r="H131" i="9"/>
  <c r="H145" i="9" s="1"/>
  <c r="H147" i="9" s="1"/>
  <c r="H138" i="9"/>
  <c r="H172" i="9"/>
  <c r="H154" i="9"/>
  <c r="G103" i="9"/>
  <c r="G65" i="9"/>
  <c r="G244" i="9"/>
  <c r="G107" i="9"/>
  <c r="G108" i="9"/>
  <c r="G117" i="9"/>
  <c r="G18" i="9"/>
  <c r="G120" i="9"/>
  <c r="G124" i="9"/>
  <c r="G126" i="9"/>
  <c r="G21" i="9"/>
  <c r="G131" i="9"/>
  <c r="G19" i="9"/>
  <c r="G138" i="9"/>
  <c r="G172" i="9"/>
  <c r="G154" i="9"/>
  <c r="F103" i="9"/>
  <c r="F65" i="9"/>
  <c r="F247" i="9"/>
  <c r="F107" i="9"/>
  <c r="F108" i="9"/>
  <c r="F117" i="9"/>
  <c r="F18" i="9"/>
  <c r="F120" i="9"/>
  <c r="F124" i="9"/>
  <c r="F126" i="9"/>
  <c r="F21" i="9"/>
  <c r="F131" i="9"/>
  <c r="F145" i="9" s="1"/>
  <c r="F147" i="9" s="1"/>
  <c r="F138" i="9"/>
  <c r="F172" i="9"/>
  <c r="F154" i="9"/>
  <c r="F178" i="9"/>
  <c r="V103" i="9"/>
  <c r="V65" i="9"/>
  <c r="V107" i="9"/>
  <c r="V108" i="9"/>
  <c r="V117" i="9"/>
  <c r="V18" i="9"/>
  <c r="V76" i="9"/>
  <c r="V93" i="9"/>
  <c r="V78" i="9"/>
  <c r="V124" i="9"/>
  <c r="V125" i="9"/>
  <c r="V131" i="9"/>
  <c r="V138" i="9"/>
  <c r="V145" i="9" s="1"/>
  <c r="V147" i="9" s="1"/>
  <c r="V172" i="9"/>
  <c r="V154" i="9"/>
  <c r="AA103" i="9"/>
  <c r="AA65" i="9"/>
  <c r="AA244" i="9"/>
  <c r="AA107" i="9"/>
  <c r="AA108" i="9"/>
  <c r="AA117" i="9"/>
  <c r="AA18" i="9"/>
  <c r="AA76" i="9"/>
  <c r="AA93" i="9"/>
  <c r="AA78" i="9"/>
  <c r="AA124" i="9"/>
  <c r="AA125" i="9"/>
  <c r="AA131" i="9"/>
  <c r="AA19" i="9" s="1"/>
  <c r="AA22" i="9" s="1"/>
  <c r="AA23" i="9" s="1"/>
  <c r="AA138" i="9"/>
  <c r="AA172" i="9"/>
  <c r="AA154" i="9"/>
  <c r="AF110" i="9"/>
  <c r="AF72" i="9"/>
  <c r="AF108" i="9"/>
  <c r="AF117" i="9"/>
  <c r="AF18" i="9"/>
  <c r="AF131" i="9"/>
  <c r="AF19" i="9" s="1"/>
  <c r="AF22" i="9" s="1"/>
  <c r="AF23" i="9" s="1"/>
  <c r="AF138" i="9"/>
  <c r="F6" i="9"/>
  <c r="AB235" i="9"/>
  <c r="X235" i="9"/>
  <c r="Y258" i="9"/>
  <c r="Z258" i="9"/>
  <c r="AB243" i="9"/>
  <c r="U77" i="9"/>
  <c r="Z65" i="9"/>
  <c r="Z243" i="9"/>
  <c r="Y65" i="9"/>
  <c r="Y243" i="9"/>
  <c r="Z235" i="9"/>
  <c r="BN235" i="9"/>
  <c r="BS235" i="9"/>
  <c r="Y235" i="9"/>
  <c r="AB236" i="9"/>
  <c r="AB191" i="9"/>
  <c r="AB197" i="9"/>
  <c r="AB204" i="9"/>
  <c r="AB209" i="9"/>
  <c r="AB217" i="9"/>
  <c r="AB117" i="9"/>
  <c r="AB18" i="9"/>
  <c r="AB120" i="9"/>
  <c r="AB124" i="9"/>
  <c r="AB126" i="9"/>
  <c r="AB21" i="9"/>
  <c r="AB131" i="9"/>
  <c r="AB19" i="9" s="1"/>
  <c r="AB22" i="9" s="1"/>
  <c r="AB23" i="9" s="1"/>
  <c r="AB138" i="9"/>
  <c r="AB172" i="9"/>
  <c r="AB154" i="9"/>
  <c r="AB73" i="9"/>
  <c r="AB71" i="9"/>
  <c r="AB60" i="9"/>
  <c r="AB9" i="9"/>
  <c r="AB58" i="9"/>
  <c r="AB57" i="9"/>
  <c r="AB55" i="9"/>
  <c r="AB54" i="9"/>
  <c r="AB52" i="9"/>
  <c r="AB51" i="9"/>
  <c r="AB49" i="9"/>
  <c r="AB48" i="9"/>
  <c r="AB46" i="9"/>
  <c r="AB45" i="9"/>
  <c r="Z103" i="9"/>
  <c r="Z107" i="9"/>
  <c r="Z108" i="9"/>
  <c r="Y103" i="9"/>
  <c r="Y107" i="9"/>
  <c r="Y108" i="9"/>
  <c r="X103" i="9"/>
  <c r="X107" i="9"/>
  <c r="X108" i="9"/>
  <c r="Z117" i="9"/>
  <c r="Z118" i="9"/>
  <c r="X117" i="9"/>
  <c r="X18" i="9"/>
  <c r="Y117" i="9"/>
  <c r="Y18" i="9"/>
  <c r="AB20" i="9"/>
  <c r="AB8" i="9"/>
  <c r="W103" i="9"/>
  <c r="W65" i="9"/>
  <c r="W107" i="9"/>
  <c r="W108" i="9"/>
  <c r="AA20" i="9"/>
  <c r="Z20" i="9"/>
  <c r="Z131" i="9"/>
  <c r="Z19" i="9"/>
  <c r="Y20" i="9"/>
  <c r="Y131" i="9"/>
  <c r="X20" i="9"/>
  <c r="X131" i="9"/>
  <c r="X19" i="9"/>
  <c r="X22" i="9" s="1"/>
  <c r="X23" i="9" s="1"/>
  <c r="W117" i="9"/>
  <c r="W18" i="9"/>
  <c r="W20" i="9"/>
  <c r="W131" i="9"/>
  <c r="V20" i="9"/>
  <c r="V19" i="9"/>
  <c r="U103" i="9"/>
  <c r="U65" i="9"/>
  <c r="U107" i="9"/>
  <c r="U108" i="9"/>
  <c r="U117" i="9"/>
  <c r="U118" i="9"/>
  <c r="U20" i="9"/>
  <c r="U131" i="9"/>
  <c r="T103" i="9"/>
  <c r="T65" i="9"/>
  <c r="T104" i="9"/>
  <c r="T105" i="9"/>
  <c r="T107" i="9"/>
  <c r="T108" i="9"/>
  <c r="T117" i="9"/>
  <c r="T18" i="9"/>
  <c r="T20" i="9"/>
  <c r="T131" i="9"/>
  <c r="T19" i="9" s="1"/>
  <c r="S103" i="9"/>
  <c r="S65" i="9"/>
  <c r="S104" i="9"/>
  <c r="S107" i="9"/>
  <c r="S108" i="9"/>
  <c r="S117" i="9"/>
  <c r="S18" i="9"/>
  <c r="S20" i="9"/>
  <c r="S131" i="9"/>
  <c r="R103" i="9"/>
  <c r="R65" i="9"/>
  <c r="R104" i="9"/>
  <c r="R105" i="9"/>
  <c r="R107" i="9"/>
  <c r="R108" i="9"/>
  <c r="R117" i="9"/>
  <c r="R18" i="9"/>
  <c r="R20" i="9"/>
  <c r="R131" i="9"/>
  <c r="R19" i="9" s="1"/>
  <c r="Q20" i="9"/>
  <c r="M103" i="9"/>
  <c r="M65" i="9"/>
  <c r="M252" i="9"/>
  <c r="M107" i="9"/>
  <c r="M108" i="9"/>
  <c r="N103" i="9"/>
  <c r="N65" i="9"/>
  <c r="N107" i="9"/>
  <c r="N108" i="9"/>
  <c r="O103" i="9"/>
  <c r="O65" i="9"/>
  <c r="O104" i="9"/>
  <c r="O107" i="9"/>
  <c r="O108" i="9"/>
  <c r="P117" i="9"/>
  <c r="P118" i="9"/>
  <c r="P20" i="9"/>
  <c r="P131" i="9"/>
  <c r="P19" i="9" s="1"/>
  <c r="P22" i="9" s="1"/>
  <c r="P23" i="9" s="1"/>
  <c r="O117" i="9"/>
  <c r="O18" i="9"/>
  <c r="O20" i="9"/>
  <c r="O131" i="9"/>
  <c r="O19" i="9" s="1"/>
  <c r="O22" i="9" s="1"/>
  <c r="O23" i="9" s="1"/>
  <c r="N117" i="9"/>
  <c r="N18" i="9"/>
  <c r="N20" i="9"/>
  <c r="N131" i="9"/>
  <c r="N19" i="9" s="1"/>
  <c r="N22" i="9" s="1"/>
  <c r="N23" i="9" s="1"/>
  <c r="M117" i="9"/>
  <c r="M18" i="9"/>
  <c r="M20" i="9"/>
  <c r="M131" i="9"/>
  <c r="L20" i="9"/>
  <c r="K103" i="9"/>
  <c r="K65" i="9"/>
  <c r="K107" i="9"/>
  <c r="K108" i="9"/>
  <c r="K117" i="9"/>
  <c r="K118" i="9"/>
  <c r="K20" i="9"/>
  <c r="K131" i="9"/>
  <c r="J20" i="9"/>
  <c r="I18" i="9"/>
  <c r="I20" i="9"/>
  <c r="H20" i="9"/>
  <c r="H19" i="9"/>
  <c r="G20" i="9"/>
  <c r="F20" i="9"/>
  <c r="E103" i="9"/>
  <c r="E65" i="9"/>
  <c r="E248" i="9"/>
  <c r="E107" i="9"/>
  <c r="E108" i="9"/>
  <c r="E117" i="9"/>
  <c r="E18" i="9"/>
  <c r="E20" i="9"/>
  <c r="E131" i="9"/>
  <c r="E19" i="9" s="1"/>
  <c r="E22" i="9" s="1"/>
  <c r="E23" i="9" s="1"/>
  <c r="B19" i="10"/>
  <c r="B28" i="10"/>
  <c r="B37" i="10"/>
  <c r="B20" i="10"/>
  <c r="B29" i="10"/>
  <c r="B38" i="10"/>
  <c r="M16" i="10"/>
  <c r="E16" i="10"/>
  <c r="F16" i="10"/>
  <c r="AA258" i="9"/>
  <c r="AA236" i="9"/>
  <c r="AA235" i="9"/>
  <c r="AA191" i="9"/>
  <c r="AA197" i="9"/>
  <c r="AA204" i="9"/>
  <c r="AA209" i="9"/>
  <c r="AA217" i="9"/>
  <c r="AA219" i="9" s="1"/>
  <c r="AA73" i="9"/>
  <c r="AA71" i="9"/>
  <c r="AA60" i="9"/>
  <c r="AA58" i="9"/>
  <c r="AA57" i="9"/>
  <c r="AA55" i="9"/>
  <c r="AA54" i="9"/>
  <c r="AA52" i="9"/>
  <c r="AA51" i="9"/>
  <c r="AA49" i="9"/>
  <c r="AA48" i="9"/>
  <c r="AA46" i="9"/>
  <c r="AA45" i="9"/>
  <c r="AA8" i="9"/>
  <c r="AA9" i="9"/>
  <c r="Z236" i="9"/>
  <c r="Z191" i="9"/>
  <c r="Z197" i="9"/>
  <c r="Z204" i="9"/>
  <c r="Z209" i="9"/>
  <c r="Z217" i="9"/>
  <c r="Z120" i="9"/>
  <c r="Z124" i="9"/>
  <c r="Z126" i="9"/>
  <c r="Z21" i="9"/>
  <c r="Z138" i="9"/>
  <c r="Z145" i="9" s="1"/>
  <c r="Z147" i="9" s="1"/>
  <c r="Z172" i="9"/>
  <c r="Z154" i="9"/>
  <c r="Y120" i="9"/>
  <c r="Y124" i="9"/>
  <c r="Y126" i="9"/>
  <c r="Y21" i="9"/>
  <c r="Y138" i="9"/>
  <c r="Y145" i="9" s="1"/>
  <c r="Y147" i="9" s="1"/>
  <c r="Y172" i="9"/>
  <c r="Y154" i="9"/>
  <c r="X120" i="9"/>
  <c r="X124" i="9"/>
  <c r="X126" i="9"/>
  <c r="X138" i="9"/>
  <c r="X172" i="9"/>
  <c r="X154" i="9"/>
  <c r="W120" i="9"/>
  <c r="W124" i="9"/>
  <c r="W126" i="9"/>
  <c r="W138" i="9"/>
  <c r="W145" i="9" s="1"/>
  <c r="W147" i="9" s="1"/>
  <c r="W172" i="9"/>
  <c r="W154" i="9"/>
  <c r="Z73" i="9"/>
  <c r="Z71" i="9"/>
  <c r="Z60" i="9"/>
  <c r="Z58" i="9"/>
  <c r="Z57" i="9"/>
  <c r="Z55" i="9"/>
  <c r="Z54" i="9"/>
  <c r="Z52" i="9"/>
  <c r="Z51" i="9"/>
  <c r="Z49" i="9"/>
  <c r="Z48" i="9"/>
  <c r="Z46" i="9"/>
  <c r="Z45" i="9"/>
  <c r="Z8" i="9"/>
  <c r="Z9" i="9"/>
  <c r="Y252" i="9"/>
  <c r="R252" i="9"/>
  <c r="P65" i="9"/>
  <c r="P239" i="9"/>
  <c r="Y248" i="9"/>
  <c r="U248" i="9"/>
  <c r="R248" i="9"/>
  <c r="S247" i="9"/>
  <c r="R244" i="9"/>
  <c r="U243" i="9"/>
  <c r="R243" i="9"/>
  <c r="M243" i="9"/>
  <c r="J244" i="9"/>
  <c r="J243" i="9"/>
  <c r="L243" i="9"/>
  <c r="W240" i="9"/>
  <c r="U240" i="9"/>
  <c r="S240" i="9"/>
  <c r="O240" i="9"/>
  <c r="J239" i="9"/>
  <c r="P57" i="9"/>
  <c r="P54" i="9"/>
  <c r="P51" i="9"/>
  <c r="P48" i="9"/>
  <c r="P45" i="9"/>
  <c r="Y236" i="9"/>
  <c r="X236" i="9"/>
  <c r="Y191" i="9"/>
  <c r="Y197" i="9"/>
  <c r="Y217" i="9"/>
  <c r="Y204" i="9"/>
  <c r="Y209" i="9"/>
  <c r="X191" i="9"/>
  <c r="X197" i="9"/>
  <c r="X217" i="9"/>
  <c r="X204" i="9"/>
  <c r="X209" i="9"/>
  <c r="X219" i="9"/>
  <c r="Y73" i="9"/>
  <c r="X73" i="9"/>
  <c r="Y71" i="9"/>
  <c r="X71" i="9"/>
  <c r="Y60" i="9"/>
  <c r="Y9" i="9"/>
  <c r="X60" i="9"/>
  <c r="X9" i="9"/>
  <c r="Y58" i="9"/>
  <c r="X58" i="9"/>
  <c r="Y57" i="9"/>
  <c r="X57" i="9"/>
  <c r="Y55" i="9"/>
  <c r="X55" i="9"/>
  <c r="Y54" i="9"/>
  <c r="X54" i="9"/>
  <c r="Y52" i="9"/>
  <c r="X52" i="9"/>
  <c r="Y51" i="9"/>
  <c r="X51" i="9"/>
  <c r="Y49" i="9"/>
  <c r="X49" i="9"/>
  <c r="Y48" i="9"/>
  <c r="X48" i="9"/>
  <c r="Y46" i="9"/>
  <c r="X46" i="9"/>
  <c r="Y45" i="9"/>
  <c r="X45" i="9"/>
  <c r="Y8" i="9"/>
  <c r="X8" i="9"/>
  <c r="W258" i="9"/>
  <c r="U258" i="9"/>
  <c r="T258" i="9"/>
  <c r="S258" i="9"/>
  <c r="W217" i="9"/>
  <c r="V217" i="9"/>
  <c r="U217" i="9"/>
  <c r="T217" i="9"/>
  <c r="S217" i="9"/>
  <c r="R217" i="9"/>
  <c r="P217" i="9"/>
  <c r="O217" i="9"/>
  <c r="N217" i="9"/>
  <c r="M217" i="9"/>
  <c r="L217" i="9"/>
  <c r="K217" i="9"/>
  <c r="J217" i="9"/>
  <c r="I217" i="9"/>
  <c r="H217" i="9"/>
  <c r="G217" i="9"/>
  <c r="F217" i="9"/>
  <c r="E217" i="9"/>
  <c r="J32" i="40"/>
  <c r="S235" i="9"/>
  <c r="U235" i="9"/>
  <c r="AF187" i="9"/>
  <c r="T235" i="9"/>
  <c r="W235" i="9"/>
  <c r="W236" i="9"/>
  <c r="U236" i="9"/>
  <c r="T236" i="9"/>
  <c r="S236" i="9"/>
  <c r="R236" i="9"/>
  <c r="P236" i="9"/>
  <c r="O236" i="9"/>
  <c r="N236" i="9"/>
  <c r="M236" i="9"/>
  <c r="K236" i="9"/>
  <c r="J236" i="9"/>
  <c r="I236" i="9"/>
  <c r="H236" i="9"/>
  <c r="V236" i="9"/>
  <c r="Q236" i="9"/>
  <c r="L236" i="9"/>
  <c r="G236" i="9"/>
  <c r="F236" i="9"/>
  <c r="E236" i="9"/>
  <c r="V8" i="9"/>
  <c r="AJ10" i="7"/>
  <c r="P103" i="9"/>
  <c r="P107" i="9"/>
  <c r="P108" i="9"/>
  <c r="AF125" i="9"/>
  <c r="AF151" i="9"/>
  <c r="AF152" i="9"/>
  <c r="U138" i="9"/>
  <c r="U120" i="9"/>
  <c r="U124" i="9"/>
  <c r="U126" i="9"/>
  <c r="U21" i="9"/>
  <c r="U172" i="9"/>
  <c r="U154" i="9"/>
  <c r="T138" i="9"/>
  <c r="T145" i="9"/>
  <c r="T120" i="9"/>
  <c r="T124" i="9"/>
  <c r="T126" i="9"/>
  <c r="T21" i="9"/>
  <c r="T172" i="9"/>
  <c r="T154" i="9"/>
  <c r="S138" i="9"/>
  <c r="S120" i="9"/>
  <c r="S124" i="9"/>
  <c r="S126" i="9"/>
  <c r="S21" i="9"/>
  <c r="S172" i="9"/>
  <c r="S154" i="9"/>
  <c r="R138" i="9"/>
  <c r="R120" i="9"/>
  <c r="R124" i="9"/>
  <c r="R126" i="9"/>
  <c r="R21" i="9"/>
  <c r="R172" i="9"/>
  <c r="R154" i="9"/>
  <c r="P138" i="9"/>
  <c r="P145" i="9" s="1"/>
  <c r="P147" i="9" s="1"/>
  <c r="P26" i="9" s="1"/>
  <c r="P93" i="9"/>
  <c r="P120" i="9"/>
  <c r="P124" i="9"/>
  <c r="P125" i="9"/>
  <c r="P172" i="9"/>
  <c r="P154" i="9"/>
  <c r="O138" i="9"/>
  <c r="O120" i="9"/>
  <c r="O124" i="9"/>
  <c r="O126" i="9"/>
  <c r="O172" i="9"/>
  <c r="O154" i="9"/>
  <c r="N138" i="9"/>
  <c r="N120" i="9"/>
  <c r="N124" i="9"/>
  <c r="N126" i="9"/>
  <c r="N21" i="9"/>
  <c r="N172" i="9"/>
  <c r="N154" i="9"/>
  <c r="M138" i="9"/>
  <c r="M120" i="9"/>
  <c r="M124" i="9"/>
  <c r="M126" i="9"/>
  <c r="M172" i="9"/>
  <c r="M154" i="9"/>
  <c r="K138" i="9"/>
  <c r="K75" i="9"/>
  <c r="K93" i="9"/>
  <c r="K124" i="9"/>
  <c r="K125" i="9"/>
  <c r="K126" i="9" s="1"/>
  <c r="K21" i="9" s="1"/>
  <c r="K172" i="9"/>
  <c r="K154" i="9"/>
  <c r="E180" i="9"/>
  <c r="E28" i="9"/>
  <c r="E138" i="9"/>
  <c r="E120" i="9"/>
  <c r="E124" i="9"/>
  <c r="E126" i="9"/>
  <c r="E21" i="9"/>
  <c r="E172" i="9"/>
  <c r="E154" i="9"/>
  <c r="M26" i="44"/>
  <c r="D26" i="44"/>
  <c r="E26" i="44"/>
  <c r="F26" i="44"/>
  <c r="G26" i="44"/>
  <c r="H26" i="44"/>
  <c r="I26" i="44"/>
  <c r="C26" i="44"/>
  <c r="J26" i="44"/>
  <c r="K26" i="44"/>
  <c r="L26" i="44"/>
  <c r="C27" i="44"/>
  <c r="D27" i="44"/>
  <c r="D28" i="44"/>
  <c r="D30" i="44"/>
  <c r="E27" i="44"/>
  <c r="E28" i="44"/>
  <c r="E30" i="44"/>
  <c r="F27" i="44"/>
  <c r="F28" i="44" s="1"/>
  <c r="F30" i="44"/>
  <c r="G27" i="44"/>
  <c r="G28" i="44" s="1"/>
  <c r="G30" i="44" s="1"/>
  <c r="H27" i="44"/>
  <c r="H28" i="44"/>
  <c r="H30" i="44"/>
  <c r="I27" i="44"/>
  <c r="I28" i="44"/>
  <c r="I30" i="44"/>
  <c r="J27" i="44"/>
  <c r="J28" i="44" s="1"/>
  <c r="J30" i="44" s="1"/>
  <c r="K27" i="44"/>
  <c r="K28" i="44" s="1"/>
  <c r="K30" i="44" s="1"/>
  <c r="L27" i="44"/>
  <c r="L28" i="44" s="1"/>
  <c r="L30" i="44" s="1"/>
  <c r="M27" i="44"/>
  <c r="M28" i="44" s="1"/>
  <c r="D15" i="44"/>
  <c r="E15" i="44"/>
  <c r="F15" i="44"/>
  <c r="G15" i="44"/>
  <c r="H15" i="44"/>
  <c r="I15" i="44"/>
  <c r="J15" i="44"/>
  <c r="K15" i="44"/>
  <c r="L15" i="44"/>
  <c r="M15" i="44"/>
  <c r="C8" i="44"/>
  <c r="C18" i="44"/>
  <c r="C21" i="44"/>
  <c r="D21" i="44"/>
  <c r="E21" i="44"/>
  <c r="F21" i="44"/>
  <c r="G21" i="44"/>
  <c r="H21" i="44"/>
  <c r="I21" i="44"/>
  <c r="J21" i="44"/>
  <c r="K21" i="44"/>
  <c r="L21" i="44"/>
  <c r="M21" i="44"/>
  <c r="M18" i="44"/>
  <c r="L18" i="44"/>
  <c r="K18" i="44"/>
  <c r="J18" i="44"/>
  <c r="I18" i="44"/>
  <c r="H18" i="44"/>
  <c r="G18" i="44"/>
  <c r="F18" i="44"/>
  <c r="E18" i="44"/>
  <c r="D18" i="44"/>
  <c r="M17" i="44"/>
  <c r="L17" i="44"/>
  <c r="K17" i="44"/>
  <c r="J17" i="44"/>
  <c r="I17" i="44"/>
  <c r="H17" i="44"/>
  <c r="G17" i="44"/>
  <c r="F17" i="44"/>
  <c r="E17" i="44"/>
  <c r="D17" i="44"/>
  <c r="C17" i="44"/>
  <c r="C15" i="44"/>
  <c r="I12" i="44"/>
  <c r="H12" i="44"/>
  <c r="G12" i="44"/>
  <c r="F12" i="44"/>
  <c r="E12" i="44"/>
  <c r="D12" i="44"/>
  <c r="C12" i="44"/>
  <c r="I10" i="44"/>
  <c r="H10" i="44"/>
  <c r="G10" i="44"/>
  <c r="F10" i="44"/>
  <c r="E10" i="44"/>
  <c r="D10" i="44"/>
  <c r="D5" i="44"/>
  <c r="E5" i="44"/>
  <c r="F5" i="44"/>
  <c r="G5" i="44"/>
  <c r="H5" i="44"/>
  <c r="I5" i="44"/>
  <c r="J5" i="44"/>
  <c r="K5" i="44"/>
  <c r="L5" i="44"/>
  <c r="M5" i="44"/>
  <c r="V258" i="9"/>
  <c r="R258" i="9"/>
  <c r="Q258" i="9"/>
  <c r="P258" i="9"/>
  <c r="O258" i="9"/>
  <c r="N258" i="9"/>
  <c r="M258" i="9"/>
  <c r="L258" i="9"/>
  <c r="K258" i="9"/>
  <c r="J258" i="9"/>
  <c r="I258" i="9"/>
  <c r="H258" i="9"/>
  <c r="G258" i="9"/>
  <c r="F258" i="9"/>
  <c r="E258" i="9"/>
  <c r="R67" i="9"/>
  <c r="M67" i="9"/>
  <c r="J67" i="9"/>
  <c r="V235" i="9"/>
  <c r="R235" i="9"/>
  <c r="Q235" i="9"/>
  <c r="P235" i="9"/>
  <c r="O235" i="9"/>
  <c r="N235" i="9"/>
  <c r="M235" i="9"/>
  <c r="L235" i="9"/>
  <c r="K235" i="9"/>
  <c r="J235" i="9"/>
  <c r="I235" i="9"/>
  <c r="H235" i="9"/>
  <c r="G235" i="9"/>
  <c r="F235" i="9"/>
  <c r="E235" i="9"/>
  <c r="W191" i="9"/>
  <c r="W197" i="9"/>
  <c r="W204" i="9"/>
  <c r="W209" i="9"/>
  <c r="V191" i="9"/>
  <c r="V197" i="9"/>
  <c r="V204" i="9"/>
  <c r="V209" i="9"/>
  <c r="V219" i="9"/>
  <c r="U191" i="9"/>
  <c r="U197" i="9"/>
  <c r="U204" i="9"/>
  <c r="U209" i="9"/>
  <c r="U219" i="9"/>
  <c r="T191" i="9"/>
  <c r="T197" i="9"/>
  <c r="T204" i="9"/>
  <c r="T209" i="9"/>
  <c r="T219" i="9"/>
  <c r="S191" i="9"/>
  <c r="S197" i="9"/>
  <c r="S204" i="9"/>
  <c r="S209" i="9"/>
  <c r="S219" i="9" s="1"/>
  <c r="R191" i="9"/>
  <c r="R197" i="9"/>
  <c r="R204" i="9"/>
  <c r="R209" i="9"/>
  <c r="Q191" i="9"/>
  <c r="Q197" i="9"/>
  <c r="Q217" i="9"/>
  <c r="Q204" i="9"/>
  <c r="Q209" i="9"/>
  <c r="Q219" i="9"/>
  <c r="Q220" i="9"/>
  <c r="P191" i="9"/>
  <c r="P197" i="9"/>
  <c r="P204" i="9"/>
  <c r="P209" i="9"/>
  <c r="P219" i="9"/>
  <c r="P220" i="9"/>
  <c r="O191" i="9"/>
  <c r="O197" i="9"/>
  <c r="O204" i="9"/>
  <c r="O209" i="9"/>
  <c r="O219" i="9"/>
  <c r="N191" i="9"/>
  <c r="N197" i="9"/>
  <c r="N204" i="9"/>
  <c r="N209" i="9"/>
  <c r="N219" i="9"/>
  <c r="M191" i="9"/>
  <c r="M197" i="9"/>
  <c r="M204" i="9"/>
  <c r="M209" i="9"/>
  <c r="L191" i="9"/>
  <c r="L197" i="9"/>
  <c r="L204" i="9"/>
  <c r="L209" i="9"/>
  <c r="K191" i="9"/>
  <c r="K197" i="9"/>
  <c r="K204" i="9"/>
  <c r="K209" i="9"/>
  <c r="K219" i="9"/>
  <c r="J191" i="9"/>
  <c r="J197" i="9"/>
  <c r="J204" i="9"/>
  <c r="J209" i="9"/>
  <c r="J219" i="9"/>
  <c r="I191" i="9"/>
  <c r="I197" i="9"/>
  <c r="I204" i="9"/>
  <c r="I209" i="9"/>
  <c r="I219" i="9"/>
  <c r="I220" i="9"/>
  <c r="H191" i="9"/>
  <c r="H197" i="9"/>
  <c r="H204" i="9"/>
  <c r="H209" i="9"/>
  <c r="G191" i="9"/>
  <c r="G197" i="9"/>
  <c r="G204" i="9"/>
  <c r="G209" i="9"/>
  <c r="F191" i="9"/>
  <c r="F197" i="9"/>
  <c r="F204" i="9"/>
  <c r="F209" i="9"/>
  <c r="E191" i="9"/>
  <c r="E197" i="9"/>
  <c r="E204" i="9"/>
  <c r="E209" i="9"/>
  <c r="E219" i="9"/>
  <c r="F184" i="9"/>
  <c r="E184" i="9"/>
  <c r="F102" i="9"/>
  <c r="E102" i="9"/>
  <c r="W73" i="9"/>
  <c r="V73" i="9"/>
  <c r="U73" i="9"/>
  <c r="T73" i="9"/>
  <c r="S73" i="9"/>
  <c r="R73" i="9"/>
  <c r="Q73" i="9"/>
  <c r="P73" i="9"/>
  <c r="O73" i="9"/>
  <c r="N73" i="9"/>
  <c r="M73" i="9"/>
  <c r="L73" i="9"/>
  <c r="K73" i="9"/>
  <c r="J73" i="9"/>
  <c r="I73" i="9"/>
  <c r="H73" i="9"/>
  <c r="G73" i="9"/>
  <c r="F73" i="9"/>
  <c r="E73" i="9"/>
  <c r="W71" i="9"/>
  <c r="V71" i="9"/>
  <c r="U71" i="9"/>
  <c r="T71" i="9"/>
  <c r="S71" i="9"/>
  <c r="R71" i="9"/>
  <c r="Q71" i="9"/>
  <c r="P71" i="9"/>
  <c r="O71" i="9"/>
  <c r="N71" i="9"/>
  <c r="M71" i="9"/>
  <c r="L71" i="9"/>
  <c r="K71" i="9"/>
  <c r="J71" i="9"/>
  <c r="I71" i="9"/>
  <c r="H71" i="9"/>
  <c r="G71" i="9"/>
  <c r="F71" i="9"/>
  <c r="E71" i="9"/>
  <c r="W60" i="9"/>
  <c r="W9" i="9"/>
  <c r="V60" i="9"/>
  <c r="V9" i="9"/>
  <c r="U60" i="9"/>
  <c r="U9" i="9"/>
  <c r="T60" i="9"/>
  <c r="T9" i="9"/>
  <c r="S60" i="9"/>
  <c r="S9" i="9"/>
  <c r="R60" i="9"/>
  <c r="R9" i="9"/>
  <c r="Q60" i="9"/>
  <c r="Q9" i="9"/>
  <c r="P60" i="9"/>
  <c r="P9" i="9"/>
  <c r="O60" i="9"/>
  <c r="O9" i="9"/>
  <c r="N60" i="9"/>
  <c r="N9" i="9"/>
  <c r="M60" i="9"/>
  <c r="M9" i="9"/>
  <c r="L60" i="9"/>
  <c r="L9" i="9"/>
  <c r="G60" i="9"/>
  <c r="G9" i="9"/>
  <c r="F60" i="9"/>
  <c r="F9" i="9"/>
  <c r="W58" i="9"/>
  <c r="V58" i="9"/>
  <c r="U58" i="9"/>
  <c r="T58" i="9"/>
  <c r="S58" i="9"/>
  <c r="R58" i="9"/>
  <c r="Q58" i="9"/>
  <c r="P58" i="9"/>
  <c r="O58" i="9"/>
  <c r="N58" i="9"/>
  <c r="M58" i="9"/>
  <c r="L58" i="9"/>
  <c r="K58" i="9"/>
  <c r="J58" i="9"/>
  <c r="I58" i="9"/>
  <c r="H58" i="9"/>
  <c r="G58" i="9"/>
  <c r="F58" i="9"/>
  <c r="E58" i="9"/>
  <c r="AF57" i="9"/>
  <c r="W57" i="9"/>
  <c r="V57" i="9"/>
  <c r="U57" i="9"/>
  <c r="T57" i="9"/>
  <c r="S57" i="9"/>
  <c r="R57" i="9"/>
  <c r="Q57" i="9"/>
  <c r="O57" i="9"/>
  <c r="N57" i="9"/>
  <c r="M57" i="9"/>
  <c r="L57" i="9"/>
  <c r="G57" i="9"/>
  <c r="F57" i="9"/>
  <c r="W55" i="9"/>
  <c r="V55" i="9"/>
  <c r="U55" i="9"/>
  <c r="T55" i="9"/>
  <c r="S55" i="9"/>
  <c r="R55" i="9"/>
  <c r="Q55" i="9"/>
  <c r="P55" i="9"/>
  <c r="O55" i="9"/>
  <c r="N55" i="9"/>
  <c r="M55" i="9"/>
  <c r="L55" i="9"/>
  <c r="K55" i="9"/>
  <c r="J55" i="9"/>
  <c r="I55" i="9"/>
  <c r="H55" i="9"/>
  <c r="G55" i="9"/>
  <c r="F55" i="9"/>
  <c r="E55" i="9"/>
  <c r="AF54" i="9"/>
  <c r="W54" i="9"/>
  <c r="V54" i="9"/>
  <c r="U54" i="9"/>
  <c r="T54" i="9"/>
  <c r="S54" i="9"/>
  <c r="R54" i="9"/>
  <c r="Q54" i="9"/>
  <c r="O54" i="9"/>
  <c r="N54" i="9"/>
  <c r="M54" i="9"/>
  <c r="L54" i="9"/>
  <c r="G54" i="9"/>
  <c r="F54" i="9"/>
  <c r="W52" i="9"/>
  <c r="V52" i="9"/>
  <c r="U52" i="9"/>
  <c r="T52" i="9"/>
  <c r="S52" i="9"/>
  <c r="R52" i="9"/>
  <c r="Q52" i="9"/>
  <c r="P52" i="9"/>
  <c r="O52" i="9"/>
  <c r="N52" i="9"/>
  <c r="M52" i="9"/>
  <c r="L52" i="9"/>
  <c r="K52" i="9"/>
  <c r="J52" i="9"/>
  <c r="I52" i="9"/>
  <c r="H52" i="9"/>
  <c r="G52" i="9"/>
  <c r="F52" i="9"/>
  <c r="E52" i="9"/>
  <c r="AF51" i="9"/>
  <c r="W51" i="9"/>
  <c r="V51" i="9"/>
  <c r="U51" i="9"/>
  <c r="T51" i="9"/>
  <c r="S51" i="9"/>
  <c r="R51" i="9"/>
  <c r="Q51" i="9"/>
  <c r="O51" i="9"/>
  <c r="N51" i="9"/>
  <c r="M51" i="9"/>
  <c r="L51" i="9"/>
  <c r="G51" i="9"/>
  <c r="F51" i="9"/>
  <c r="W49" i="9"/>
  <c r="V49" i="9"/>
  <c r="U49" i="9"/>
  <c r="T49" i="9"/>
  <c r="S49" i="9"/>
  <c r="R49" i="9"/>
  <c r="Q49" i="9"/>
  <c r="P49" i="9"/>
  <c r="O49" i="9"/>
  <c r="N49" i="9"/>
  <c r="M49" i="9"/>
  <c r="L49" i="9"/>
  <c r="K49" i="9"/>
  <c r="J49" i="9"/>
  <c r="I49" i="9"/>
  <c r="H49" i="9"/>
  <c r="G49" i="9"/>
  <c r="F49" i="9"/>
  <c r="E49" i="9"/>
  <c r="AF48" i="9"/>
  <c r="W48" i="9"/>
  <c r="V48" i="9"/>
  <c r="U48" i="9"/>
  <c r="T48" i="9"/>
  <c r="S48" i="9"/>
  <c r="R48" i="9"/>
  <c r="Q48" i="9"/>
  <c r="O48" i="9"/>
  <c r="N48" i="9"/>
  <c r="M48" i="9"/>
  <c r="L48" i="9"/>
  <c r="G48" i="9"/>
  <c r="F48" i="9"/>
  <c r="W46" i="9"/>
  <c r="V46" i="9"/>
  <c r="U46" i="9"/>
  <c r="T46" i="9"/>
  <c r="S46" i="9"/>
  <c r="R46" i="9"/>
  <c r="Q46" i="9"/>
  <c r="P46" i="9"/>
  <c r="O46" i="9"/>
  <c r="N46" i="9"/>
  <c r="M46" i="9"/>
  <c r="L46" i="9"/>
  <c r="K46" i="9"/>
  <c r="J46" i="9"/>
  <c r="I46" i="9"/>
  <c r="H46" i="9"/>
  <c r="G46" i="9"/>
  <c r="F46" i="9"/>
  <c r="E46" i="9"/>
  <c r="AF45" i="9"/>
  <c r="W45" i="9"/>
  <c r="V45" i="9"/>
  <c r="U45" i="9"/>
  <c r="T45" i="9"/>
  <c r="S45" i="9"/>
  <c r="R45" i="9"/>
  <c r="Q45" i="9"/>
  <c r="O45" i="9"/>
  <c r="N45" i="9"/>
  <c r="M45" i="9"/>
  <c r="L45" i="9"/>
  <c r="G45" i="9"/>
  <c r="F45" i="9"/>
  <c r="F42" i="9"/>
  <c r="E42" i="9"/>
  <c r="B20" i="9"/>
  <c r="W8" i="9"/>
  <c r="U8" i="9"/>
  <c r="T8" i="9"/>
  <c r="S8" i="9"/>
  <c r="R8" i="9"/>
  <c r="Q8" i="9"/>
  <c r="P8" i="9"/>
  <c r="O8" i="9"/>
  <c r="N8" i="9"/>
  <c r="M8" i="9"/>
  <c r="L8" i="9"/>
  <c r="K8" i="9"/>
  <c r="J8" i="9"/>
  <c r="I8" i="9"/>
  <c r="H8" i="9"/>
  <c r="G8" i="9"/>
  <c r="F8" i="9"/>
  <c r="E8" i="9"/>
  <c r="B24" i="10"/>
  <c r="B33" i="10"/>
  <c r="B42" i="10"/>
  <c r="B23" i="10"/>
  <c r="B32" i="10"/>
  <c r="B41" i="10"/>
  <c r="B22" i="10"/>
  <c r="B31" i="10"/>
  <c r="B40" i="10"/>
  <c r="B21" i="10"/>
  <c r="B30" i="10"/>
  <c r="B39" i="10"/>
  <c r="L14" i="17"/>
  <c r="K32" i="40"/>
  <c r="AE10" i="7"/>
  <c r="Z10" i="7"/>
  <c r="Y10" i="7"/>
  <c r="X10" i="7"/>
  <c r="W10" i="7"/>
  <c r="V10" i="7"/>
  <c r="U10" i="7"/>
  <c r="T10" i="7"/>
  <c r="S10" i="7"/>
  <c r="R10" i="7"/>
  <c r="Q10" i="7"/>
  <c r="P10" i="7"/>
  <c r="O10" i="7"/>
  <c r="N10" i="7"/>
  <c r="M10" i="7"/>
  <c r="L10" i="7"/>
  <c r="K10" i="7"/>
  <c r="J10" i="7"/>
  <c r="I10" i="7"/>
  <c r="H10" i="7"/>
  <c r="G10" i="7"/>
  <c r="F10" i="7"/>
  <c r="E10" i="7"/>
  <c r="D10" i="7"/>
  <c r="C10" i="7"/>
  <c r="B10" i="7"/>
  <c r="R14" i="17"/>
  <c r="E14" i="17"/>
  <c r="E15" i="17"/>
  <c r="C14" i="17"/>
  <c r="G29" i="53"/>
  <c r="B182" i="9"/>
  <c r="I13" i="53"/>
  <c r="AB67" i="9"/>
  <c r="AB11" i="9"/>
  <c r="AB12" i="9"/>
  <c r="AQ104" i="9"/>
  <c r="AQ239" i="9"/>
  <c r="AQ243" i="9"/>
  <c r="AQ247" i="9"/>
  <c r="AQ251" i="9"/>
  <c r="AQ240" i="9"/>
  <c r="AQ244" i="9"/>
  <c r="AQ248" i="9"/>
  <c r="AM251" i="9"/>
  <c r="AM247" i="9"/>
  <c r="AM243" i="9"/>
  <c r="AM239" i="9"/>
  <c r="AO251" i="9"/>
  <c r="AO247" i="9"/>
  <c r="AO243" i="9"/>
  <c r="AO239" i="9"/>
  <c r="AM104" i="9"/>
  <c r="AM105" i="9"/>
  <c r="AM113" i="9"/>
  <c r="AM219" i="9"/>
  <c r="AN239" i="9"/>
  <c r="AM240" i="9"/>
  <c r="AL243" i="9"/>
  <c r="AO244" i="9"/>
  <c r="AM248" i="9"/>
  <c r="AO252" i="9"/>
  <c r="AP46" i="9"/>
  <c r="AP49" i="9"/>
  <c r="AP52" i="9"/>
  <c r="AP55" i="9"/>
  <c r="AP58" i="9"/>
  <c r="AL252" i="9"/>
  <c r="AL248" i="9"/>
  <c r="AL244" i="9"/>
  <c r="AL240" i="9"/>
  <c r="AL104" i="9"/>
  <c r="AL105" i="9"/>
  <c r="AL113" i="9"/>
  <c r="AN252" i="9"/>
  <c r="AN248" i="9"/>
  <c r="AN244" i="9"/>
  <c r="AN240" i="9"/>
  <c r="AN104" i="9"/>
  <c r="AN105" i="9"/>
  <c r="AN113" i="9"/>
  <c r="AN14" i="9"/>
  <c r="AM67" i="9"/>
  <c r="AM68" i="9"/>
  <c r="AO67" i="9"/>
  <c r="AO11" i="9"/>
  <c r="AO12" i="9"/>
  <c r="AP73" i="9"/>
  <c r="AP103" i="9"/>
  <c r="AO104" i="9"/>
  <c r="AO105" i="9"/>
  <c r="AO113" i="9"/>
  <c r="AO14" i="9"/>
  <c r="AP124" i="9"/>
  <c r="AO145" i="9"/>
  <c r="AO147" i="9" s="1"/>
  <c r="AP258" i="9"/>
  <c r="AP204" i="9"/>
  <c r="AP209" i="9"/>
  <c r="AL239" i="9"/>
  <c r="AO240" i="9"/>
  <c r="AN243" i="9"/>
  <c r="AM244" i="9"/>
  <c r="AL247" i="9"/>
  <c r="AO248" i="9"/>
  <c r="AN251" i="9"/>
  <c r="AM252" i="9"/>
  <c r="AK252" i="9"/>
  <c r="AK244" i="9"/>
  <c r="AK104" i="9"/>
  <c r="AH11" i="9"/>
  <c r="AH12" i="9"/>
  <c r="AH80" i="9"/>
  <c r="AH81" i="9"/>
  <c r="AJ11" i="9"/>
  <c r="AJ12" i="9"/>
  <c r="AG252" i="9"/>
  <c r="AG104" i="9"/>
  <c r="AG105" i="9"/>
  <c r="AG113" i="9"/>
  <c r="AG247" i="9"/>
  <c r="AG239" i="9"/>
  <c r="AI252" i="9"/>
  <c r="AI248" i="9"/>
  <c r="AI244" i="9"/>
  <c r="AI240" i="9"/>
  <c r="AI104" i="9"/>
  <c r="AI105" i="9"/>
  <c r="AI113" i="9"/>
  <c r="AI251" i="9"/>
  <c r="AI247" i="9"/>
  <c r="AI243" i="9"/>
  <c r="AI239" i="9"/>
  <c r="AK73" i="9"/>
  <c r="AK124" i="9"/>
  <c r="AK126" i="9"/>
  <c r="AK21" i="9"/>
  <c r="AK235" i="9"/>
  <c r="AK247" i="9"/>
  <c r="AH251" i="9"/>
  <c r="AH247" i="9"/>
  <c r="AH243" i="9"/>
  <c r="AH239" i="9"/>
  <c r="AH252" i="9"/>
  <c r="AH248" i="9"/>
  <c r="AH244" i="9"/>
  <c r="AH240" i="9"/>
  <c r="AH104" i="9"/>
  <c r="AH105" i="9"/>
  <c r="AH113" i="9"/>
  <c r="AH122" i="9"/>
  <c r="AH128" i="9"/>
  <c r="AJ251" i="9"/>
  <c r="AJ247" i="9"/>
  <c r="AJ243" i="9"/>
  <c r="AJ239" i="9"/>
  <c r="AJ252" i="9"/>
  <c r="AJ248" i="9"/>
  <c r="AJ244" i="9"/>
  <c r="AJ240" i="9"/>
  <c r="AJ104" i="9"/>
  <c r="AK239" i="9"/>
  <c r="AK243" i="9"/>
  <c r="AK154" i="9"/>
  <c r="AE67" i="9"/>
  <c r="AE239" i="9"/>
  <c r="AE243" i="9"/>
  <c r="AE247" i="9"/>
  <c r="AE251" i="9"/>
  <c r="AE104" i="9"/>
  <c r="AE105" i="9"/>
  <c r="AE113" i="9"/>
  <c r="AE114" i="9"/>
  <c r="AE240" i="9"/>
  <c r="AE244" i="9"/>
  <c r="AE248" i="9"/>
  <c r="M11" i="9"/>
  <c r="Z67" i="9"/>
  <c r="Z247" i="9"/>
  <c r="Z239" i="9"/>
  <c r="AD252" i="9"/>
  <c r="AD243" i="9"/>
  <c r="AF59" i="9"/>
  <c r="AC67" i="9"/>
  <c r="AC80" i="9"/>
  <c r="AC104" i="9"/>
  <c r="AC105" i="9"/>
  <c r="AC113" i="9"/>
  <c r="AA120" i="9"/>
  <c r="V120" i="9"/>
  <c r="AC145" i="9"/>
  <c r="AC147" i="9" s="1"/>
  <c r="Q145" i="9"/>
  <c r="Q147" i="9" s="1"/>
  <c r="H16" i="10"/>
  <c r="P251" i="9"/>
  <c r="AF150" i="9"/>
  <c r="AF194" i="9"/>
  <c r="AO68" i="9"/>
  <c r="AH90" i="9"/>
  <c r="Z11" i="9"/>
  <c r="AF70" i="9"/>
  <c r="L37" i="53"/>
  <c r="L65" i="53"/>
  <c r="AF64" i="9"/>
  <c r="AF65" i="9"/>
  <c r="AF201" i="9"/>
  <c r="AF200" i="9"/>
  <c r="AF188" i="9"/>
  <c r="L66" i="53"/>
  <c r="AB16" i="10"/>
  <c r="AB229" i="9"/>
  <c r="AF199" i="9"/>
  <c r="AF91" i="9"/>
  <c r="AF124" i="9"/>
  <c r="AF126" i="9"/>
  <c r="AF21" i="9"/>
  <c r="AQ16" i="10"/>
  <c r="AQ229" i="9"/>
  <c r="AP12" i="10"/>
  <c r="AP225" i="9"/>
  <c r="AP14" i="10"/>
  <c r="AK16" i="10"/>
  <c r="AK229" i="9"/>
  <c r="AP13" i="10"/>
  <c r="AP15" i="10"/>
  <c r="AD16" i="10"/>
  <c r="AD229" i="9"/>
  <c r="I16" i="10"/>
  <c r="W16" i="10"/>
  <c r="W229" i="9"/>
  <c r="AE16" i="10"/>
  <c r="AE229" i="9"/>
  <c r="U16" i="10"/>
  <c r="U229" i="9"/>
  <c r="Z16" i="10"/>
  <c r="Z229" i="9"/>
  <c r="AC16" i="10"/>
  <c r="AC229" i="9"/>
  <c r="K16" i="10"/>
  <c r="J16" i="10"/>
  <c r="N16" i="10"/>
  <c r="Y16" i="10"/>
  <c r="Y229" i="9"/>
  <c r="P16" i="10"/>
  <c r="O16" i="10"/>
  <c r="X16" i="10"/>
  <c r="X229" i="9"/>
  <c r="AH16" i="10"/>
  <c r="AH229" i="9"/>
  <c r="AG16" i="10"/>
  <c r="AG229" i="9"/>
  <c r="T16" i="10"/>
  <c r="T229" i="9"/>
  <c r="S16" i="10"/>
  <c r="S229" i="9"/>
  <c r="R16" i="10"/>
  <c r="R229" i="9"/>
  <c r="AL16" i="10"/>
  <c r="AL229" i="9"/>
  <c r="AM16" i="10"/>
  <c r="AM229" i="9"/>
  <c r="AN16" i="10"/>
  <c r="AN229" i="9"/>
  <c r="AJ16" i="10"/>
  <c r="AJ229" i="9"/>
  <c r="AI16" i="10"/>
  <c r="AI229" i="9"/>
  <c r="AO16" i="10"/>
  <c r="AO229" i="9"/>
  <c r="AP11" i="10"/>
  <c r="AR243" i="9"/>
  <c r="AR251" i="9"/>
  <c r="AR244" i="9"/>
  <c r="AR252" i="9"/>
  <c r="AR239" i="9"/>
  <c r="AR247" i="9"/>
  <c r="AR240" i="9"/>
  <c r="Q16" i="10"/>
  <c r="Q229" i="9"/>
  <c r="L16" i="10"/>
  <c r="G16" i="10"/>
  <c r="AA16" i="10"/>
  <c r="AA229" i="9"/>
  <c r="V16" i="10"/>
  <c r="V229" i="9"/>
  <c r="R219" i="9"/>
  <c r="AB68" i="9"/>
  <c r="Y104" i="9"/>
  <c r="Y105" i="9"/>
  <c r="Y113" i="9"/>
  <c r="Y251" i="9"/>
  <c r="AG21" i="9"/>
  <c r="Y239" i="9"/>
  <c r="Y67" i="9"/>
  <c r="AC240" i="9"/>
  <c r="AI80" i="9"/>
  <c r="AI11" i="9"/>
  <c r="AI12" i="9"/>
  <c r="AI21" i="9"/>
  <c r="AL67" i="9"/>
  <c r="AL11" i="9"/>
  <c r="AL12" i="9"/>
  <c r="AP8" i="9"/>
  <c r="AP236" i="9"/>
  <c r="AL145" i="9"/>
  <c r="AL147" i="9" s="1"/>
  <c r="AQ19" i="9"/>
  <c r="AT16" i="10"/>
  <c r="AT229" i="9"/>
  <c r="AF217" i="9"/>
  <c r="AU16" i="10"/>
  <c r="AU229" i="9"/>
  <c r="AS145" i="9"/>
  <c r="AS147" i="9" s="1"/>
  <c r="AS219" i="9"/>
  <c r="AS239" i="9"/>
  <c r="AS243" i="9"/>
  <c r="AS247" i="9"/>
  <c r="AV16" i="10"/>
  <c r="AV229" i="9"/>
  <c r="AW16" i="10"/>
  <c r="AW229" i="9"/>
  <c r="AV68" i="9"/>
  <c r="AV11" i="9"/>
  <c r="AV12" i="9"/>
  <c r="AV21" i="9"/>
  <c r="AW19" i="9"/>
  <c r="AW22" i="9" s="1"/>
  <c r="AW23" i="9" s="1"/>
  <c r="AV104" i="9"/>
  <c r="AV105" i="9"/>
  <c r="AV113" i="9"/>
  <c r="AV114" i="9"/>
  <c r="AV239" i="9"/>
  <c r="AV240" i="9"/>
  <c r="AV243" i="9"/>
  <c r="AV244" i="9"/>
  <c r="AV247" i="9"/>
  <c r="AV248" i="9"/>
  <c r="AV251" i="9"/>
  <c r="AV252" i="9"/>
  <c r="AU252" i="9"/>
  <c r="AU248" i="9"/>
  <c r="AU244" i="9"/>
  <c r="AU240" i="9"/>
  <c r="AU104" i="9"/>
  <c r="AU243" i="9"/>
  <c r="AU251" i="9"/>
  <c r="AU239" i="9"/>
  <c r="AU247" i="9"/>
  <c r="AU67" i="9"/>
  <c r="AU11" i="9"/>
  <c r="AU73" i="9"/>
  <c r="AT104" i="9"/>
  <c r="AT105" i="9"/>
  <c r="AT113" i="9"/>
  <c r="AU204" i="9"/>
  <c r="AU209" i="9"/>
  <c r="AU219" i="9"/>
  <c r="AT239" i="9"/>
  <c r="AT240" i="9"/>
  <c r="AT243" i="9"/>
  <c r="AT244" i="9"/>
  <c r="AT247" i="9"/>
  <c r="AT248" i="9"/>
  <c r="AT251" i="9"/>
  <c r="AT252" i="9"/>
  <c r="AU60" i="9"/>
  <c r="AU9" i="9"/>
  <c r="AU71" i="9"/>
  <c r="AU103" i="9"/>
  <c r="AU124" i="9"/>
  <c r="AU126" i="9"/>
  <c r="AU21" i="9"/>
  <c r="AU154" i="9"/>
  <c r="BA21" i="9"/>
  <c r="BA240" i="9"/>
  <c r="BA19" i="9"/>
  <c r="BA22" i="9" s="1"/>
  <c r="BA23" i="9" s="1"/>
  <c r="BA67" i="9"/>
  <c r="BA11" i="9"/>
  <c r="BA12" i="9"/>
  <c r="BA243" i="9"/>
  <c r="BA251" i="9"/>
  <c r="BA248" i="9"/>
  <c r="BA104" i="9"/>
  <c r="BA105" i="9"/>
  <c r="BA113" i="9"/>
  <c r="BA114" i="9"/>
  <c r="BA244" i="9"/>
  <c r="BA252" i="9"/>
  <c r="BA239" i="9"/>
  <c r="AZ251" i="9"/>
  <c r="AZ247" i="9"/>
  <c r="AZ248" i="9"/>
  <c r="AZ240" i="9"/>
  <c r="AZ252" i="9"/>
  <c r="AZ244" i="9"/>
  <c r="AZ104" i="9"/>
  <c r="AZ67" i="9"/>
  <c r="AZ11" i="9"/>
  <c r="AZ239" i="9"/>
  <c r="AZ243" i="9"/>
  <c r="AX219" i="9"/>
  <c r="AX220" i="9"/>
  <c r="AZ46" i="9"/>
  <c r="AZ52" i="9"/>
  <c r="AZ58" i="9"/>
  <c r="AZ60" i="9"/>
  <c r="AZ9" i="9"/>
  <c r="AZ124" i="9"/>
  <c r="AZ126" i="9"/>
  <c r="AZ21" i="9"/>
  <c r="AZ236" i="9"/>
  <c r="AX240" i="9"/>
  <c r="AY243" i="9"/>
  <c r="AX248" i="9"/>
  <c r="AY251" i="9"/>
  <c r="AZ103" i="9"/>
  <c r="AZ108" i="9"/>
  <c r="AZ204" i="9"/>
  <c r="AZ209" i="9"/>
  <c r="AX239" i="9"/>
  <c r="AY240" i="9"/>
  <c r="AX247" i="9"/>
  <c r="AY248" i="9"/>
  <c r="AY67" i="9"/>
  <c r="AZ71" i="9"/>
  <c r="AX104" i="9"/>
  <c r="AX105" i="9"/>
  <c r="AX113" i="9"/>
  <c r="AY239" i="9"/>
  <c r="AX244" i="9"/>
  <c r="AY247" i="9"/>
  <c r="AX252" i="9"/>
  <c r="AZ258" i="9"/>
  <c r="AY104" i="9"/>
  <c r="AY105" i="9"/>
  <c r="AY113" i="9"/>
  <c r="AY122" i="9"/>
  <c r="AX243" i="9"/>
  <c r="AY244" i="9"/>
  <c r="AP224" i="9"/>
  <c r="AP226" i="9"/>
  <c r="AP228" i="9"/>
  <c r="W21" i="9"/>
  <c r="X21" i="9"/>
  <c r="AF172" i="9"/>
  <c r="T67" i="9"/>
  <c r="N252" i="9"/>
  <c r="AB248" i="9"/>
  <c r="AB251" i="9"/>
  <c r="AC252" i="9"/>
  <c r="AC243" i="9"/>
  <c r="AC251" i="9"/>
  <c r="AC239" i="9"/>
  <c r="AC248" i="9"/>
  <c r="AC244" i="9"/>
  <c r="AH21" i="9"/>
  <c r="AQ21" i="9"/>
  <c r="N239" i="9"/>
  <c r="N240" i="9"/>
  <c r="N243" i="9"/>
  <c r="N244" i="9"/>
  <c r="N247" i="9"/>
  <c r="N248" i="9"/>
  <c r="N251" i="9"/>
  <c r="AB252" i="9"/>
  <c r="AB247" i="9"/>
  <c r="G6" i="9"/>
  <c r="G102" i="9"/>
  <c r="P104" i="9"/>
  <c r="P105" i="9"/>
  <c r="P113" i="9"/>
  <c r="U67" i="9"/>
  <c r="U11" i="9"/>
  <c r="U12" i="9"/>
  <c r="T239" i="9"/>
  <c r="T240" i="9"/>
  <c r="V243" i="9"/>
  <c r="T243" i="9"/>
  <c r="T244" i="9"/>
  <c r="J247" i="9"/>
  <c r="J248" i="9"/>
  <c r="T247" i="9"/>
  <c r="T248" i="9"/>
  <c r="V251" i="9"/>
  <c r="J251" i="9"/>
  <c r="J252" i="9"/>
  <c r="T251" i="9"/>
  <c r="T252" i="9"/>
  <c r="AB240" i="9"/>
  <c r="AJ21" i="9"/>
  <c r="AS21" i="9"/>
  <c r="AN247" i="9"/>
  <c r="AR219" i="9"/>
  <c r="AR220" i="9"/>
  <c r="AR21" i="9"/>
  <c r="AW104" i="9"/>
  <c r="AW105" i="9"/>
  <c r="AW113" i="9"/>
  <c r="AW122" i="9"/>
  <c r="AW128" i="9"/>
  <c r="AW244" i="9"/>
  <c r="AW252" i="9"/>
  <c r="AS244" i="9"/>
  <c r="AU258" i="9"/>
  <c r="AW67" i="9"/>
  <c r="AW80" i="9"/>
  <c r="AW239" i="9"/>
  <c r="AW247" i="9"/>
  <c r="AF16" i="10"/>
  <c r="AF229" i="9"/>
  <c r="AR145" i="9"/>
  <c r="AR147" i="9" s="1"/>
  <c r="AS248" i="9"/>
  <c r="AU46" i="9"/>
  <c r="AU49" i="9"/>
  <c r="AU52" i="9"/>
  <c r="AU55" i="9"/>
  <c r="AU58" i="9"/>
  <c r="AW240" i="9"/>
  <c r="AW248" i="9"/>
  <c r="AU8" i="9"/>
  <c r="AW243" i="9"/>
  <c r="BA68" i="9"/>
  <c r="T68" i="9"/>
  <c r="AU12" i="9"/>
  <c r="BF228" i="9"/>
  <c r="BF227" i="9"/>
  <c r="BF229" i="9"/>
  <c r="BB21" i="9"/>
  <c r="BB220" i="9"/>
  <c r="BB240" i="9"/>
  <c r="BB248" i="9"/>
  <c r="BB243" i="9"/>
  <c r="BB251" i="9"/>
  <c r="BB67" i="9"/>
  <c r="BB11" i="9"/>
  <c r="BB12" i="9"/>
  <c r="BB104" i="9"/>
  <c r="BB105" i="9"/>
  <c r="BB113" i="9"/>
  <c r="BB244" i="9"/>
  <c r="BB252" i="9"/>
  <c r="BB239" i="9"/>
  <c r="AL68" i="9"/>
  <c r="AT68" i="9"/>
  <c r="AT11" i="9"/>
  <c r="AT12" i="9"/>
  <c r="AF252" i="9"/>
  <c r="AZ68" i="9"/>
  <c r="AP227" i="9"/>
  <c r="AC11" i="9"/>
  <c r="AC12" i="9"/>
  <c r="F29" i="53"/>
  <c r="F30" i="53" s="1"/>
  <c r="Y68" i="9"/>
  <c r="J11" i="9"/>
  <c r="J12" i="9"/>
  <c r="J68" i="9"/>
  <c r="J80" i="9"/>
  <c r="I21" i="9"/>
  <c r="X251" i="9"/>
  <c r="X248" i="9"/>
  <c r="X239" i="9"/>
  <c r="X243" i="9"/>
  <c r="X104" i="9"/>
  <c r="X240" i="9"/>
  <c r="X252" i="9"/>
  <c r="X247" i="9"/>
  <c r="X67" i="9"/>
  <c r="X68" i="9"/>
  <c r="X244" i="9"/>
  <c r="AF55" i="9"/>
  <c r="AK55" i="9"/>
  <c r="AK49" i="9"/>
  <c r="AK52" i="9"/>
  <c r="AK8" i="9"/>
  <c r="AK58" i="9"/>
  <c r="AK71" i="9"/>
  <c r="AK103" i="9"/>
  <c r="AK105" i="9"/>
  <c r="AK46" i="9"/>
  <c r="AP60" i="9"/>
  <c r="AP9" i="9"/>
  <c r="AK258" i="9"/>
  <c r="AK67" i="9"/>
  <c r="AK236" i="9"/>
  <c r="AJ219" i="9"/>
  <c r="AJ220" i="9"/>
  <c r="Z77" i="9"/>
  <c r="AA77" i="9"/>
  <c r="V77" i="9"/>
  <c r="AA251" i="9"/>
  <c r="AA243" i="9"/>
  <c r="AA104" i="9"/>
  <c r="AA105" i="9"/>
  <c r="AA113" i="9"/>
  <c r="AA114" i="9"/>
  <c r="AA67" i="9"/>
  <c r="AA247" i="9"/>
  <c r="AA239" i="9"/>
  <c r="AA248" i="9"/>
  <c r="AA240" i="9"/>
  <c r="AA252" i="9"/>
  <c r="F104" i="9"/>
  <c r="F105" i="9"/>
  <c r="F113" i="9"/>
  <c r="F122" i="9"/>
  <c r="F128" i="9"/>
  <c r="F251" i="9"/>
  <c r="F248" i="9"/>
  <c r="F243" i="9"/>
  <c r="F239" i="9"/>
  <c r="F67" i="9"/>
  <c r="F252" i="9"/>
  <c r="F244" i="9"/>
  <c r="G251" i="9"/>
  <c r="G248" i="9"/>
  <c r="G104" i="9"/>
  <c r="G105" i="9"/>
  <c r="G113" i="9"/>
  <c r="G114" i="9"/>
  <c r="G243" i="9"/>
  <c r="G239" i="9"/>
  <c r="G252" i="9"/>
  <c r="G247" i="9"/>
  <c r="G240" i="9"/>
  <c r="H252" i="9"/>
  <c r="H240" i="9"/>
  <c r="H67" i="9"/>
  <c r="H244" i="9"/>
  <c r="L105" i="9"/>
  <c r="L113" i="9"/>
  <c r="L14" i="9"/>
  <c r="Q104" i="9"/>
  <c r="Q105" i="9"/>
  <c r="Q113" i="9"/>
  <c r="Q251" i="9"/>
  <c r="Q248" i="9"/>
  <c r="Q243" i="9"/>
  <c r="Q239" i="9"/>
  <c r="Q247" i="9"/>
  <c r="Q244" i="9"/>
  <c r="C28" i="44"/>
  <c r="C30" i="44"/>
  <c r="E145" i="9"/>
  <c r="E147" i="9" s="1"/>
  <c r="U104" i="9"/>
  <c r="U105" i="9"/>
  <c r="U113" i="9"/>
  <c r="U252" i="9"/>
  <c r="U247" i="9"/>
  <c r="U251" i="9"/>
  <c r="U239" i="9"/>
  <c r="U244" i="9"/>
  <c r="Y19" i="9"/>
  <c r="Z251" i="9"/>
  <c r="Z104" i="9"/>
  <c r="Z105" i="9"/>
  <c r="Z113" i="9"/>
  <c r="Z244" i="9"/>
  <c r="Z252" i="9"/>
  <c r="I145" i="9"/>
  <c r="I19" i="9"/>
  <c r="U18" i="9"/>
  <c r="W19" i="9"/>
  <c r="AD219" i="9"/>
  <c r="AK172" i="9"/>
  <c r="AY220" i="9"/>
  <c r="AU236" i="9"/>
  <c r="AX67" i="9"/>
  <c r="AX80" i="9"/>
  <c r="AN19" i="9"/>
  <c r="X80" i="9"/>
  <c r="X81" i="9"/>
  <c r="X11" i="9"/>
  <c r="X12" i="9"/>
  <c r="BF223" i="9"/>
  <c r="H80" i="9"/>
  <c r="H81" i="9"/>
  <c r="BF226" i="9"/>
  <c r="J90" i="9"/>
  <c r="J92" i="9"/>
  <c r="J94" i="9"/>
  <c r="J97" i="9"/>
  <c r="J81" i="9"/>
  <c r="E29" i="53"/>
  <c r="D29" i="53"/>
  <c r="D30" i="53"/>
  <c r="B99" i="9"/>
  <c r="B39" i="9"/>
  <c r="J30" i="53"/>
  <c r="BH224" i="9"/>
  <c r="BH225" i="9"/>
  <c r="BL12" i="10"/>
  <c r="BL225" i="9" s="1"/>
  <c r="BM12" i="10"/>
  <c r="BM225" i="9" s="1"/>
  <c r="BN12" i="10"/>
  <c r="BN225" i="9" s="1"/>
  <c r="BO12" i="10"/>
  <c r="BO225" i="9" s="1"/>
  <c r="BP12" i="10"/>
  <c r="BP225" i="9" s="1"/>
  <c r="BQ12" i="10"/>
  <c r="BQ225" i="9" s="1"/>
  <c r="BR12" i="10"/>
  <c r="BR225" i="9" s="1"/>
  <c r="BS12" i="10"/>
  <c r="BS225" i="9" s="1"/>
  <c r="BT12" i="10"/>
  <c r="BT225" i="9" s="1"/>
  <c r="BH228" i="9"/>
  <c r="BL15" i="10"/>
  <c r="BL228" i="9" s="1"/>
  <c r="BM15" i="10"/>
  <c r="BM228" i="9" s="1"/>
  <c r="BN15" i="10"/>
  <c r="BN228" i="9" s="1"/>
  <c r="BO15" i="10"/>
  <c r="BO228" i="9" s="1"/>
  <c r="BP15" i="10"/>
  <c r="BP228" i="9" s="1"/>
  <c r="BQ15" i="10"/>
  <c r="BQ228" i="9" s="1"/>
  <c r="BR15" i="10"/>
  <c r="BR228" i="9" s="1"/>
  <c r="BS15" i="10"/>
  <c r="BS228" i="9" s="1"/>
  <c r="BT15" i="10"/>
  <c r="BT228" i="9" s="1"/>
  <c r="BF224" i="9"/>
  <c r="BF225" i="9"/>
  <c r="BH226" i="9"/>
  <c r="BL13" i="10"/>
  <c r="BL226" i="9" s="1"/>
  <c r="BM13" i="10"/>
  <c r="BM226" i="9" s="1"/>
  <c r="BN13" i="10"/>
  <c r="BN226" i="9" s="1"/>
  <c r="BO13" i="10"/>
  <c r="BO226" i="9" s="1"/>
  <c r="BP13" i="10"/>
  <c r="BP226" i="9" s="1"/>
  <c r="BQ13" i="10"/>
  <c r="BQ226" i="9" s="1"/>
  <c r="BR13" i="10"/>
  <c r="BR226" i="9" s="1"/>
  <c r="BS13" i="10"/>
  <c r="BS226" i="9" s="1"/>
  <c r="BT13" i="10"/>
  <c r="BT226" i="9" s="1"/>
  <c r="BH227" i="9"/>
  <c r="BL14" i="10"/>
  <c r="BL227" i="9" s="1"/>
  <c r="BM14" i="10"/>
  <c r="BM227" i="9" s="1"/>
  <c r="BN14" i="10"/>
  <c r="BN227" i="9" s="1"/>
  <c r="BO14" i="10"/>
  <c r="BO227" i="9" s="1"/>
  <c r="BP14" i="10"/>
  <c r="BP227" i="9" s="1"/>
  <c r="BQ14" i="10"/>
  <c r="BQ227" i="9" s="1"/>
  <c r="BR14" i="10"/>
  <c r="BR227" i="9" s="1"/>
  <c r="BS14" i="10"/>
  <c r="BS227" i="9" s="1"/>
  <c r="BT14" i="10"/>
  <c r="BT227" i="9" s="1"/>
  <c r="BF21" i="9"/>
  <c r="BF240" i="9"/>
  <c r="BF248" i="9"/>
  <c r="BF67" i="9"/>
  <c r="BF243" i="9"/>
  <c r="BF251" i="9"/>
  <c r="BF104" i="9"/>
  <c r="BF105" i="9"/>
  <c r="BF113" i="9"/>
  <c r="BF244" i="9"/>
  <c r="BF252" i="9"/>
  <c r="BF239" i="9"/>
  <c r="BE217" i="9"/>
  <c r="BE21" i="9"/>
  <c r="BD21" i="9"/>
  <c r="BR235" i="9"/>
  <c r="BE145" i="9"/>
  <c r="BE247" i="9"/>
  <c r="BE204" i="9"/>
  <c r="BE209" i="9"/>
  <c r="BE219" i="9"/>
  <c r="BC247" i="9"/>
  <c r="BE248" i="9"/>
  <c r="BE252" i="9"/>
  <c r="BE71" i="9"/>
  <c r="BE73" i="9"/>
  <c r="BE104" i="9"/>
  <c r="BE154" i="9"/>
  <c r="BE49" i="9"/>
  <c r="BE55" i="9"/>
  <c r="BC251" i="9"/>
  <c r="BC243" i="9"/>
  <c r="BE172" i="9"/>
  <c r="BE239" i="9"/>
  <c r="BE236" i="9"/>
  <c r="BC244" i="9"/>
  <c r="BC248" i="9"/>
  <c r="BD104" i="9"/>
  <c r="BD105" i="9"/>
  <c r="BD113" i="9"/>
  <c r="BD14" i="9"/>
  <c r="BD15" i="9"/>
  <c r="BD244" i="9"/>
  <c r="BH229" i="9"/>
  <c r="BL11" i="10"/>
  <c r="BL224" i="9" s="1"/>
  <c r="BM11" i="10"/>
  <c r="BM224" i="9" s="1"/>
  <c r="BG247" i="9"/>
  <c r="BG239" i="9"/>
  <c r="BG252" i="9"/>
  <c r="BG244" i="9"/>
  <c r="BG104" i="9"/>
  <c r="BG67" i="9"/>
  <c r="BG11" i="9"/>
  <c r="BG12" i="9"/>
  <c r="BG248" i="9"/>
  <c r="BG240" i="9"/>
  <c r="BG105" i="9"/>
  <c r="BG113" i="9"/>
  <c r="BG14" i="9"/>
  <c r="BG15" i="9"/>
  <c r="BG21" i="9"/>
  <c r="BG243" i="9"/>
  <c r="BB80" i="9"/>
  <c r="BB81" i="9"/>
  <c r="M21" i="9"/>
  <c r="U80" i="9"/>
  <c r="U90" i="9"/>
  <c r="U255" i="9"/>
  <c r="G184" i="9"/>
  <c r="G42" i="9"/>
  <c r="L6" i="9"/>
  <c r="M6" i="9"/>
  <c r="M102" i="9"/>
  <c r="BB68" i="9"/>
  <c r="AW11" i="9"/>
  <c r="AW12" i="9"/>
  <c r="AW68" i="9"/>
  <c r="BN258" i="9"/>
  <c r="BS258" i="9"/>
  <c r="O21" i="9"/>
  <c r="AG14" i="9"/>
  <c r="AG114" i="9"/>
  <c r="AL114" i="9"/>
  <c r="AL14" i="9"/>
  <c r="AL15" i="9"/>
  <c r="U220" i="9"/>
  <c r="AA220" i="9"/>
  <c r="AW220" i="9"/>
  <c r="P252" i="9"/>
  <c r="AH145" i="9"/>
  <c r="AH147" i="9" s="1"/>
  <c r="BE67" i="9"/>
  <c r="BE11" i="9"/>
  <c r="BE12" i="9"/>
  <c r="BE244" i="9"/>
  <c r="BE243" i="9"/>
  <c r="BE240" i="9"/>
  <c r="AQ252" i="9"/>
  <c r="AZ235" i="9"/>
  <c r="BD67" i="9"/>
  <c r="BD11" i="9"/>
  <c r="BD12" i="9"/>
  <c r="BC104" i="9"/>
  <c r="BC105" i="9"/>
  <c r="BC113" i="9"/>
  <c r="BC114" i="9"/>
  <c r="BC239" i="9"/>
  <c r="BD248" i="9"/>
  <c r="AR104" i="9"/>
  <c r="AR105" i="9"/>
  <c r="AR113" i="9"/>
  <c r="BC240" i="9"/>
  <c r="BC68" i="9"/>
  <c r="BD243" i="9"/>
  <c r="BD251" i="9"/>
  <c r="BD239" i="9"/>
  <c r="BD240" i="9"/>
  <c r="K30" i="53"/>
  <c r="M29" i="53"/>
  <c r="L7" i="53"/>
  <c r="BN213" i="9"/>
  <c r="BO213" i="9"/>
  <c r="BP213" i="9"/>
  <c r="BQ213" i="9"/>
  <c r="BR213" i="9"/>
  <c r="BN214" i="9"/>
  <c r="BO214" i="9"/>
  <c r="BP214" i="9"/>
  <c r="BQ214" i="9"/>
  <c r="BR214" i="9"/>
  <c r="BS214" i="9"/>
  <c r="BT214" i="9"/>
  <c r="BH240" i="9"/>
  <c r="BH248" i="9"/>
  <c r="BH243" i="9"/>
  <c r="BH251" i="9"/>
  <c r="BH244" i="9"/>
  <c r="BH252" i="9"/>
  <c r="BH239" i="9"/>
  <c r="G145" i="9"/>
  <c r="AZ145" i="9"/>
  <c r="AZ147" i="9" s="1"/>
  <c r="BD145" i="9"/>
  <c r="BD147" i="9" s="1"/>
  <c r="AE145" i="9"/>
  <c r="AE147" i="9" s="1"/>
  <c r="AI145" i="9"/>
  <c r="AI147" i="9" s="1"/>
  <c r="AQ145" i="9"/>
  <c r="AQ147" i="9" s="1"/>
  <c r="AQ26" i="9" s="1"/>
  <c r="AU145" i="9"/>
  <c r="BC19" i="9"/>
  <c r="K23" i="53"/>
  <c r="K5" i="7"/>
  <c r="G5" i="7"/>
  <c r="H5" i="7"/>
  <c r="I5" i="7"/>
  <c r="J5" i="7"/>
  <c r="L8" i="10"/>
  <c r="H8" i="10"/>
  <c r="AP16" i="10"/>
  <c r="AP229" i="9"/>
  <c r="I5" i="18"/>
  <c r="E5" i="18"/>
  <c r="F5" i="18"/>
  <c r="G5" i="18"/>
  <c r="H5" i="18"/>
  <c r="J255" i="9"/>
  <c r="AE77" i="9"/>
  <c r="AF77" i="9"/>
  <c r="AC68" i="9"/>
  <c r="T11" i="9"/>
  <c r="T12" i="9"/>
  <c r="T80" i="9"/>
  <c r="T81" i="9"/>
  <c r="AF243" i="9"/>
  <c r="AF204" i="9"/>
  <c r="AF209" i="9"/>
  <c r="AF219" i="9"/>
  <c r="AF239" i="9"/>
  <c r="AF240" i="9"/>
  <c r="AP243" i="9"/>
  <c r="H90" i="9"/>
  <c r="H255" i="9"/>
  <c r="AP252" i="9"/>
  <c r="AP104" i="9"/>
  <c r="AP105" i="9"/>
  <c r="AP67" i="9"/>
  <c r="AP11" i="9"/>
  <c r="AP12" i="9"/>
  <c r="AP248" i="9"/>
  <c r="AP239" i="9"/>
  <c r="AP244" i="9"/>
  <c r="AP251" i="9"/>
  <c r="AS220" i="9"/>
  <c r="BN59" i="9"/>
  <c r="BS59" i="9"/>
  <c r="Y80" i="9"/>
  <c r="Y90" i="9"/>
  <c r="Y255" i="9"/>
  <c r="Y11" i="9"/>
  <c r="Y12" i="9"/>
  <c r="AE68" i="9"/>
  <c r="AE11" i="9"/>
  <c r="AE12" i="9"/>
  <c r="AG122" i="9"/>
  <c r="AG128" i="9"/>
  <c r="Z18" i="9"/>
  <c r="AB219" i="9"/>
  <c r="AB220" i="9"/>
  <c r="Y247" i="9"/>
  <c r="AK204" i="9"/>
  <c r="AK209" i="9"/>
  <c r="AG219" i="9"/>
  <c r="AP235" i="9"/>
  <c r="H219" i="9"/>
  <c r="H220" i="9"/>
  <c r="L219" i="9"/>
  <c r="L220" i="9"/>
  <c r="AL219" i="9"/>
  <c r="AL220" i="9"/>
  <c r="AU172" i="9"/>
  <c r="AU235" i="9"/>
  <c r="AZ73" i="9"/>
  <c r="AZ172" i="9"/>
  <c r="BE235" i="9"/>
  <c r="R80" i="9"/>
  <c r="AP120" i="9"/>
  <c r="BC252" i="9"/>
  <c r="BE251" i="9"/>
  <c r="BH247" i="9"/>
  <c r="P126" i="9"/>
  <c r="P21" i="9"/>
  <c r="Y219" i="9"/>
  <c r="Y220" i="9"/>
  <c r="AK217" i="9"/>
  <c r="K24" i="53"/>
  <c r="K26" i="53" s="1"/>
  <c r="BD68" i="9"/>
  <c r="BG68" i="9"/>
  <c r="BG80" i="9"/>
  <c r="BG90" i="9"/>
  <c r="BG92" i="9"/>
  <c r="BG94" i="9"/>
  <c r="BG97" i="9"/>
  <c r="L102" i="9"/>
  <c r="L7" i="9"/>
  <c r="U92" i="9"/>
  <c r="U94" i="9"/>
  <c r="U97" i="9"/>
  <c r="BB90" i="9"/>
  <c r="BB255" i="9"/>
  <c r="BC122" i="9"/>
  <c r="BC128" i="9"/>
  <c r="L114" i="9"/>
  <c r="M184" i="9"/>
  <c r="M7" i="9"/>
  <c r="BC14" i="9"/>
  <c r="BB122" i="9"/>
  <c r="BB128" i="9"/>
  <c r="BH223" i="9"/>
  <c r="AA122" i="9"/>
  <c r="AA14" i="9"/>
  <c r="AA15" i="9"/>
  <c r="AF154" i="9"/>
  <c r="AF258" i="9"/>
  <c r="AF20" i="9"/>
  <c r="M29" i="44"/>
  <c r="M30" i="44"/>
  <c r="C32" i="44"/>
  <c r="AX14" i="9"/>
  <c r="BN110" i="9"/>
  <c r="AO15" i="9"/>
  <c r="AO122" i="9"/>
  <c r="AO114" i="9"/>
  <c r="AL122" i="9"/>
  <c r="AL128" i="9"/>
  <c r="T90" i="9"/>
  <c r="AF244" i="9"/>
  <c r="AV122" i="9"/>
  <c r="AV128" i="9"/>
  <c r="AF67" i="9"/>
  <c r="AF68" i="9"/>
  <c r="AF104" i="9"/>
  <c r="AF247" i="9"/>
  <c r="AF248" i="9"/>
  <c r="AH114" i="9"/>
  <c r="AH14" i="9"/>
  <c r="AH15" i="9"/>
  <c r="AN114" i="9"/>
  <c r="AN122" i="9"/>
  <c r="AN128" i="9"/>
  <c r="AM122" i="9"/>
  <c r="AM128" i="9"/>
  <c r="AM115" i="9"/>
  <c r="K247" i="9"/>
  <c r="K243" i="9"/>
  <c r="K239" i="9"/>
  <c r="K252" i="9"/>
  <c r="K248" i="9"/>
  <c r="K244" i="9"/>
  <c r="K104" i="9"/>
  <c r="K105" i="9"/>
  <c r="K113" i="9"/>
  <c r="K114" i="9"/>
  <c r="K67" i="9"/>
  <c r="K68" i="9"/>
  <c r="V104" i="9"/>
  <c r="V105" i="9"/>
  <c r="V113" i="9"/>
  <c r="V252" i="9"/>
  <c r="V248" i="9"/>
  <c r="V239" i="9"/>
  <c r="V67" i="9"/>
  <c r="V80" i="9"/>
  <c r="V81" i="9"/>
  <c r="AK19" i="9"/>
  <c r="AK145" i="9"/>
  <c r="AK147" i="9" s="1"/>
  <c r="AF73" i="9"/>
  <c r="G67" i="9"/>
  <c r="G11" i="9"/>
  <c r="K251" i="9"/>
  <c r="E104" i="9"/>
  <c r="E105" i="9"/>
  <c r="E113" i="9"/>
  <c r="E251" i="9"/>
  <c r="E243" i="9"/>
  <c r="E252" i="9"/>
  <c r="E239" i="9"/>
  <c r="E244" i="9"/>
  <c r="E247" i="9"/>
  <c r="E67" i="9"/>
  <c r="E68" i="9"/>
  <c r="M19" i="9"/>
  <c r="M145" i="9"/>
  <c r="AF58" i="9"/>
  <c r="K240" i="9"/>
  <c r="K145" i="9"/>
  <c r="K147" i="9" s="1"/>
  <c r="K19" i="9"/>
  <c r="S105" i="9"/>
  <c r="S113" i="9"/>
  <c r="S114" i="9"/>
  <c r="U19" i="9"/>
  <c r="U22" i="9" s="1"/>
  <c r="U23" i="9" s="1"/>
  <c r="U145" i="9"/>
  <c r="AG220" i="9"/>
  <c r="W104" i="9"/>
  <c r="W105" i="9"/>
  <c r="W113" i="9"/>
  <c r="W14" i="9"/>
  <c r="W251" i="9"/>
  <c r="W244" i="9"/>
  <c r="F7" i="9"/>
  <c r="AK120" i="9"/>
  <c r="I104" i="9"/>
  <c r="I105" i="9"/>
  <c r="I113" i="9"/>
  <c r="I114" i="9"/>
  <c r="I252" i="9"/>
  <c r="I239" i="9"/>
  <c r="I67" i="9"/>
  <c r="I11" i="9"/>
  <c r="I12" i="9"/>
  <c r="L247" i="9"/>
  <c r="L244" i="9"/>
  <c r="L239" i="9"/>
  <c r="P248" i="9"/>
  <c r="P247" i="9"/>
  <c r="R251" i="9"/>
  <c r="R247" i="9"/>
  <c r="R239" i="9"/>
  <c r="J104" i="9"/>
  <c r="J105" i="9"/>
  <c r="J113" i="9"/>
  <c r="AP172" i="9"/>
  <c r="AS251" i="9"/>
  <c r="AZ49" i="9"/>
  <c r="AS252" i="9"/>
  <c r="AS67" i="9"/>
  <c r="AS80" i="9"/>
  <c r="AS90" i="9"/>
  <c r="AS104" i="9"/>
  <c r="AS105" i="9"/>
  <c r="AS113" i="9"/>
  <c r="AX115" i="9"/>
  <c r="BH105" i="9"/>
  <c r="BH113" i="9"/>
  <c r="BH14" i="9"/>
  <c r="BH16" i="9"/>
  <c r="BC11" i="9"/>
  <c r="BC12" i="9"/>
  <c r="BC80" i="9"/>
  <c r="BH67" i="9"/>
  <c r="BH80" i="9"/>
  <c r="BH81" i="9"/>
  <c r="BD252" i="9"/>
  <c r="P5" i="7"/>
  <c r="L5" i="7"/>
  <c r="M5" i="7"/>
  <c r="N5" i="7"/>
  <c r="O5" i="7"/>
  <c r="I8" i="10"/>
  <c r="J8" i="10"/>
  <c r="K8" i="10"/>
  <c r="Q8" i="10"/>
  <c r="M8" i="10"/>
  <c r="N5" i="18"/>
  <c r="J5" i="18"/>
  <c r="K5" i="18"/>
  <c r="L5" i="18"/>
  <c r="M5" i="18"/>
  <c r="H92" i="9"/>
  <c r="H94" i="9"/>
  <c r="H97" i="9"/>
  <c r="AE80" i="9"/>
  <c r="AE81" i="9"/>
  <c r="E122" i="9"/>
  <c r="E128" i="9"/>
  <c r="C36" i="44"/>
  <c r="C34" i="44"/>
  <c r="J114" i="9"/>
  <c r="AS68" i="9"/>
  <c r="BB92" i="9"/>
  <c r="BB94" i="9"/>
  <c r="BB97" i="9"/>
  <c r="BH68" i="9"/>
  <c r="G12" i="9"/>
  <c r="G68" i="9"/>
  <c r="G80" i="9"/>
  <c r="G90" i="9"/>
  <c r="BG81" i="9"/>
  <c r="K11" i="9"/>
  <c r="K12" i="9"/>
  <c r="AF80" i="9"/>
  <c r="U5" i="7"/>
  <c r="V5" i="7"/>
  <c r="W5"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AZ5" i="7"/>
  <c r="BA5" i="7"/>
  <c r="BB5" i="7"/>
  <c r="BC5" i="7"/>
  <c r="BD5" i="7"/>
  <c r="BE5" i="7"/>
  <c r="BF5" i="7"/>
  <c r="BG5" i="7"/>
  <c r="BH5" i="7" s="1"/>
  <c r="BI5" i="7" s="1"/>
  <c r="BJ5" i="7" s="1"/>
  <c r="BK5" i="7" s="1"/>
  <c r="BL5" i="7" s="1"/>
  <c r="BM5" i="7" s="1"/>
  <c r="BN5" i="7" s="1"/>
  <c r="BO5" i="7" s="1"/>
  <c r="BP5" i="7" s="1"/>
  <c r="BQ5" i="7" s="1"/>
  <c r="BR5" i="7" s="1"/>
  <c r="BS5" i="7" s="1"/>
  <c r="Q5" i="7"/>
  <c r="R5" i="7"/>
  <c r="S5" i="7"/>
  <c r="T5" i="7"/>
  <c r="N8" i="10"/>
  <c r="V8" i="10"/>
  <c r="R8" i="10"/>
  <c r="S5" i="18"/>
  <c r="T5" i="18"/>
  <c r="U5" i="18"/>
  <c r="V5" i="18"/>
  <c r="W5" i="18"/>
  <c r="X5" i="18"/>
  <c r="Y5" i="18"/>
  <c r="Z5" i="18"/>
  <c r="AA5" i="18"/>
  <c r="AB5" i="18"/>
  <c r="AC5" i="18"/>
  <c r="AD5" i="18"/>
  <c r="AE5" i="18"/>
  <c r="AF5" i="18"/>
  <c r="AG5" i="18"/>
  <c r="AH5" i="18"/>
  <c r="AI5" i="18"/>
  <c r="AJ5" i="18"/>
  <c r="AK5" i="18"/>
  <c r="AL5" i="18"/>
  <c r="AM5" i="18"/>
  <c r="AN5" i="18"/>
  <c r="AO5" i="18"/>
  <c r="AP5" i="18"/>
  <c r="AQ5" i="18"/>
  <c r="AR5" i="18"/>
  <c r="AS5" i="18"/>
  <c r="AT5" i="18"/>
  <c r="AU5" i="18"/>
  <c r="AV5" i="18"/>
  <c r="AW5" i="18"/>
  <c r="AX5" i="18"/>
  <c r="AY5" i="18"/>
  <c r="AZ5" i="18"/>
  <c r="BA5" i="18"/>
  <c r="BB5" i="18"/>
  <c r="BC5" i="18"/>
  <c r="BD5" i="18"/>
  <c r="BE5" i="18"/>
  <c r="BF5" i="18" s="1"/>
  <c r="BG5" i="18" s="1"/>
  <c r="BH5" i="18" s="1"/>
  <c r="BI5" i="18" s="1"/>
  <c r="BJ5" i="18" s="1"/>
  <c r="BK5" i="18" s="1"/>
  <c r="BL5" i="18" s="1"/>
  <c r="BM5" i="18" s="1"/>
  <c r="BN5" i="18" s="1"/>
  <c r="BO5" i="18" s="1"/>
  <c r="BP5" i="18" s="1"/>
  <c r="BQ5" i="18" s="1"/>
  <c r="O5" i="18"/>
  <c r="P5" i="18"/>
  <c r="Q5" i="18"/>
  <c r="R5" i="18"/>
  <c r="AE90" i="9"/>
  <c r="AE92" i="9"/>
  <c r="AE94" i="9"/>
  <c r="AE97" i="9"/>
  <c r="BH90" i="9"/>
  <c r="G81" i="9"/>
  <c r="AS81" i="9"/>
  <c r="S8" i="10"/>
  <c r="W8" i="10"/>
  <c r="O8" i="10"/>
  <c r="BL10" i="10"/>
  <c r="BL223" i="9" s="1"/>
  <c r="P8" i="10"/>
  <c r="X8" i="10"/>
  <c r="T8" i="10"/>
  <c r="BM10" i="10"/>
  <c r="BM223" i="9" s="1"/>
  <c r="BL16" i="10"/>
  <c r="BL229" i="9" s="1"/>
  <c r="U8" i="10"/>
  <c r="Y8" i="10"/>
  <c r="BN10" i="10"/>
  <c r="BN223" i="9" s="1"/>
  <c r="Z8" i="10"/>
  <c r="BO10" i="10"/>
  <c r="BO223" i="9" s="1"/>
  <c r="BP10" i="10"/>
  <c r="BP223" i="9" s="1"/>
  <c r="AA8" i="10"/>
  <c r="AB8" i="10"/>
  <c r="AC8" i="10"/>
  <c r="AD8" i="10"/>
  <c r="AE8" i="10"/>
  <c r="AF8" i="10"/>
  <c r="AG8" i="10"/>
  <c r="AH8" i="10"/>
  <c r="AI8" i="10"/>
  <c r="AJ8" i="10"/>
  <c r="AK8" i="10"/>
  <c r="AL8" i="10"/>
  <c r="AM8" i="10"/>
  <c r="AN8" i="10"/>
  <c r="AO8" i="10"/>
  <c r="AP8" i="10"/>
  <c r="AQ8" i="10"/>
  <c r="AR8" i="10"/>
  <c r="AS8" i="10"/>
  <c r="AT8" i="10"/>
  <c r="AU8" i="10"/>
  <c r="AV8" i="10"/>
  <c r="AW8" i="10"/>
  <c r="AX8" i="10"/>
  <c r="AY8" i="10"/>
  <c r="AZ8" i="10"/>
  <c r="BA8" i="10"/>
  <c r="BB8" i="10"/>
  <c r="BC8" i="10"/>
  <c r="BD8" i="10"/>
  <c r="BE8" i="10"/>
  <c r="BF8" i="10"/>
  <c r="BG8" i="10"/>
  <c r="BH8" i="10"/>
  <c r="BI8" i="10" s="1"/>
  <c r="BJ8" i="10" s="1"/>
  <c r="BK8" i="10" s="1"/>
  <c r="BL8" i="10" s="1"/>
  <c r="BM8" i="10" s="1"/>
  <c r="BN8" i="10" s="1"/>
  <c r="BO8" i="10" s="1"/>
  <c r="BP8" i="10" s="1"/>
  <c r="BQ8" i="10" s="1"/>
  <c r="BR8" i="10" s="1"/>
  <c r="BS8" i="10" s="1"/>
  <c r="BT8" i="10" s="1"/>
  <c r="BP67" i="9"/>
  <c r="BP64" i="9"/>
  <c r="BP70" i="9"/>
  <c r="BP107" i="9"/>
  <c r="BP72" i="9"/>
  <c r="BP108" i="9"/>
  <c r="BP103" i="9"/>
  <c r="BP150" i="9"/>
  <c r="BP154" i="9"/>
  <c r="BP187" i="9"/>
  <c r="BP236" i="9"/>
  <c r="BT120" i="9"/>
  <c r="BS67" i="9"/>
  <c r="BS72" i="9"/>
  <c r="BS108" i="9"/>
  <c r="BS150" i="9"/>
  <c r="BS154" i="9"/>
  <c r="BJ124" i="9"/>
  <c r="BJ126" i="9"/>
  <c r="BJ21" i="9"/>
  <c r="BN55" i="9"/>
  <c r="BN67" i="9"/>
  <c r="BN11" i="9"/>
  <c r="BI252" i="9"/>
  <c r="BI244" i="9"/>
  <c r="BI247" i="9"/>
  <c r="BN247" i="9"/>
  <c r="BI239" i="9"/>
  <c r="BN239" i="9"/>
  <c r="BS239" i="9"/>
  <c r="BI104" i="9"/>
  <c r="BI105" i="9"/>
  <c r="BI113" i="9"/>
  <c r="BI251" i="9"/>
  <c r="BN251" i="9"/>
  <c r="BS251" i="9"/>
  <c r="BI243" i="9"/>
  <c r="BN243" i="9"/>
  <c r="BS243" i="9"/>
  <c r="BI67" i="9"/>
  <c r="BI11" i="9"/>
  <c r="BI12" i="9"/>
  <c r="BJ19" i="9"/>
  <c r="BJ22" i="9" s="1"/>
  <c r="BJ23" i="9" s="1"/>
  <c r="BK220" i="9"/>
  <c r="BN150" i="9"/>
  <c r="BN154" i="9"/>
  <c r="BN8" i="9"/>
  <c r="BN12" i="9" s="1"/>
  <c r="BN187" i="9"/>
  <c r="BN236" i="9"/>
  <c r="BJ204" i="9"/>
  <c r="BJ209" i="9"/>
  <c r="BN52" i="9"/>
  <c r="BJ73" i="9"/>
  <c r="BJ103" i="9"/>
  <c r="BJ105" i="9"/>
  <c r="BJ113" i="9"/>
  <c r="BJ114" i="9"/>
  <c r="BK104" i="9"/>
  <c r="BK105" i="9"/>
  <c r="BK113" i="9"/>
  <c r="BJ154" i="9"/>
  <c r="BK239" i="9"/>
  <c r="BP239" i="9"/>
  <c r="BJ244" i="9"/>
  <c r="BK247" i="9"/>
  <c r="BP247" i="9"/>
  <c r="BJ252" i="9"/>
  <c r="BK67" i="9"/>
  <c r="BK68" i="9"/>
  <c r="BJ240" i="9"/>
  <c r="BK243" i="9"/>
  <c r="BP243" i="9"/>
  <c r="BP199" i="9" s="1"/>
  <c r="BJ248" i="9"/>
  <c r="BK251" i="9"/>
  <c r="BP251" i="9"/>
  <c r="BK240" i="9"/>
  <c r="P5" i="14"/>
  <c r="L5" i="14"/>
  <c r="M5" i="14"/>
  <c r="N5" i="14"/>
  <c r="O5" i="14"/>
  <c r="G5" i="14"/>
  <c r="H5" i="14"/>
  <c r="I5" i="14"/>
  <c r="J5" i="14"/>
  <c r="BQ10" i="10"/>
  <c r="BQ223" i="9" s="1"/>
  <c r="BM16" i="10"/>
  <c r="BM229" i="9" s="1"/>
  <c r="BN11" i="10"/>
  <c r="BN224" i="9" s="1"/>
  <c r="BR10" i="10"/>
  <c r="BR223" i="9" s="1"/>
  <c r="M30" i="53"/>
  <c r="E30" i="53"/>
  <c r="BS11" i="9"/>
  <c r="BS64" i="9"/>
  <c r="BS65" i="9"/>
  <c r="BS104" i="9"/>
  <c r="U5" i="14"/>
  <c r="V5" i="14"/>
  <c r="W5" i="14"/>
  <c r="X5" i="14"/>
  <c r="Y5" i="14"/>
  <c r="Z5" i="14"/>
  <c r="AA5" i="14"/>
  <c r="AB5" i="14"/>
  <c r="AC5" i="14"/>
  <c r="AD5" i="14"/>
  <c r="AE5" i="14"/>
  <c r="AF5" i="14"/>
  <c r="AG5" i="14"/>
  <c r="AH5" i="14"/>
  <c r="AI5" i="14"/>
  <c r="AJ5" i="14"/>
  <c r="AK5" i="14"/>
  <c r="AL5" i="14"/>
  <c r="AM5" i="14"/>
  <c r="AN5" i="14"/>
  <c r="AO5" i="14"/>
  <c r="AP5" i="14"/>
  <c r="AQ5" i="14"/>
  <c r="AR5" i="14"/>
  <c r="AS5" i="14"/>
  <c r="AT5" i="14"/>
  <c r="AU5" i="14"/>
  <c r="AV5" i="14"/>
  <c r="AW5" i="14"/>
  <c r="AX5" i="14"/>
  <c r="AY5" i="14"/>
  <c r="AZ5" i="14"/>
  <c r="BA5" i="14"/>
  <c r="BB5" i="14"/>
  <c r="BC5" i="14"/>
  <c r="BD5" i="14"/>
  <c r="BE5" i="14"/>
  <c r="BF5" i="14"/>
  <c r="BG5" i="14"/>
  <c r="BH5" i="14"/>
  <c r="BI5" i="14"/>
  <c r="BJ5" i="14"/>
  <c r="BK5" i="14"/>
  <c r="BL5" i="14"/>
  <c r="BM5" i="14"/>
  <c r="BN5" i="14"/>
  <c r="BO5" i="14"/>
  <c r="BP5" i="14"/>
  <c r="BQ5" i="14"/>
  <c r="BR5" i="14"/>
  <c r="BS5" i="14"/>
  <c r="Q5" i="14"/>
  <c r="R5" i="14"/>
  <c r="S5" i="14"/>
  <c r="T5" i="14"/>
  <c r="BO11" i="10"/>
  <c r="BO224" i="9" s="1"/>
  <c r="BN16" i="10"/>
  <c r="BN229" i="9" s="1"/>
  <c r="BS10" i="10"/>
  <c r="BS223" i="9" s="1"/>
  <c r="BP11" i="10"/>
  <c r="BP224" i="9" s="1"/>
  <c r="BO16" i="10"/>
  <c r="BO229" i="9" s="1"/>
  <c r="BT10" i="10"/>
  <c r="BT223" i="9" s="1"/>
  <c r="BQ11" i="10"/>
  <c r="BQ224" i="9" s="1"/>
  <c r="BP16" i="10"/>
  <c r="BP229" i="9" s="1"/>
  <c r="BR11" i="10"/>
  <c r="BR224" i="9" s="1"/>
  <c r="BQ16" i="10"/>
  <c r="BQ229" i="9" s="1"/>
  <c r="BS11" i="10"/>
  <c r="BS224" i="9" s="1"/>
  <c r="BR16" i="10"/>
  <c r="BR229" i="9" s="1"/>
  <c r="BT11" i="10"/>
  <c r="BT224" i="9" s="1"/>
  <c r="BT16" i="10"/>
  <c r="BT229" i="9" s="1"/>
  <c r="BS16" i="10"/>
  <c r="BS229" i="9" s="1"/>
  <c r="BF122" i="9"/>
  <c r="BF128" i="9"/>
  <c r="BF115" i="9"/>
  <c r="BF114" i="9"/>
  <c r="BF14" i="9"/>
  <c r="BF15" i="9"/>
  <c r="BB115" i="9"/>
  <c r="N220" i="9"/>
  <c r="O220" i="9"/>
  <c r="AQ68" i="9"/>
  <c r="AQ11" i="9"/>
  <c r="AQ12" i="9"/>
  <c r="BK11" i="9"/>
  <c r="BK12" i="9"/>
  <c r="BP11" i="9"/>
  <c r="BP12" i="9"/>
  <c r="AP68" i="9"/>
  <c r="BP20" i="9"/>
  <c r="BK115" i="9"/>
  <c r="BN64" i="9"/>
  <c r="BN201" i="9" s="1"/>
  <c r="BO201" i="9" s="1"/>
  <c r="BN65" i="9"/>
  <c r="BN104" i="9"/>
  <c r="BO59" i="9"/>
  <c r="BO52" i="9"/>
  <c r="AF11" i="9"/>
  <c r="K80" i="9"/>
  <c r="K81" i="9"/>
  <c r="BH11" i="9"/>
  <c r="BH12" i="9"/>
  <c r="AJ77" i="9"/>
  <c r="AJ80" i="9"/>
  <c r="L122" i="9"/>
  <c r="L128" i="9"/>
  <c r="L42" i="9"/>
  <c r="BG114" i="9"/>
  <c r="X90" i="9"/>
  <c r="H6" i="9"/>
  <c r="U68" i="9"/>
  <c r="F219" i="9"/>
  <c r="M219" i="9"/>
  <c r="F240" i="9"/>
  <c r="R240" i="9"/>
  <c r="M244" i="9"/>
  <c r="M248" i="9"/>
  <c r="Z240" i="9"/>
  <c r="AX11" i="9"/>
  <c r="AX12" i="9"/>
  <c r="X220" i="9"/>
  <c r="M251" i="9"/>
  <c r="AJ18" i="9"/>
  <c r="AO18" i="9"/>
  <c r="M42" i="9"/>
  <c r="AU105" i="9"/>
  <c r="AU113" i="9"/>
  <c r="M239" i="9"/>
  <c r="K18" i="9"/>
  <c r="M104" i="9"/>
  <c r="M105" i="9"/>
  <c r="M113" i="9"/>
  <c r="M14" i="9"/>
  <c r="AB239" i="9"/>
  <c r="AB104" i="9"/>
  <c r="AN145" i="9"/>
  <c r="AN147" i="9" s="1"/>
  <c r="AN177" i="9" s="1"/>
  <c r="AZ154" i="9"/>
  <c r="BS188" i="9"/>
  <c r="BT188" i="9"/>
  <c r="BE68" i="9"/>
  <c r="BP200" i="9"/>
  <c r="BP248" i="9"/>
  <c r="BN188" i="9"/>
  <c r="BO188" i="9"/>
  <c r="BT150" i="9"/>
  <c r="BO58" i="9"/>
  <c r="BS20" i="9"/>
  <c r="BN72" i="9"/>
  <c r="BN108" i="9"/>
  <c r="BN49" i="9"/>
  <c r="BS187" i="9"/>
  <c r="BT187" i="9"/>
  <c r="BS70" i="9"/>
  <c r="BS107" i="9"/>
  <c r="E80" i="9"/>
  <c r="I68" i="9"/>
  <c r="I80" i="9"/>
  <c r="AW90" i="9"/>
  <c r="AW81" i="9"/>
  <c r="H42" i="9"/>
  <c r="H7" i="9"/>
  <c r="I6" i="9"/>
  <c r="AI122" i="9"/>
  <c r="AI128" i="9"/>
  <c r="AN115" i="9"/>
  <c r="E11" i="9"/>
  <c r="E12" i="9"/>
  <c r="BN103" i="9"/>
  <c r="BC81" i="9"/>
  <c r="BC90" i="9"/>
  <c r="BC92" i="9"/>
  <c r="BC94" i="9"/>
  <c r="BC97" i="9"/>
  <c r="AS255" i="9"/>
  <c r="AS92" i="9"/>
  <c r="AS94" i="9"/>
  <c r="AS97" i="9"/>
  <c r="R90" i="9"/>
  <c r="R81" i="9"/>
  <c r="BN252" i="9"/>
  <c r="BS103" i="9"/>
  <c r="BS105" i="9"/>
  <c r="AS11" i="9"/>
  <c r="AS12" i="9"/>
  <c r="BN58" i="9"/>
  <c r="BS110" i="9"/>
  <c r="BT110" i="9"/>
  <c r="BO110" i="9"/>
  <c r="P122" i="9"/>
  <c r="P115" i="9"/>
  <c r="AC81" i="9"/>
  <c r="AC90" i="9"/>
  <c r="AN11" i="9"/>
  <c r="AN12" i="9"/>
  <c r="AN68" i="9"/>
  <c r="AN80" i="9"/>
  <c r="BD122" i="9"/>
  <c r="BD128" i="9"/>
  <c r="BD114" i="9"/>
  <c r="AX81" i="9"/>
  <c r="AX90" i="9"/>
  <c r="L115" i="9"/>
  <c r="AX68" i="9"/>
  <c r="M12" i="9"/>
  <c r="R220" i="9"/>
  <c r="E240" i="9"/>
  <c r="M240" i="9"/>
  <c r="P244" i="9"/>
  <c r="M247" i="9"/>
  <c r="Z248" i="9"/>
  <c r="J145" i="9"/>
  <c r="AO219" i="9"/>
  <c r="AO220" i="9"/>
  <c r="AZ120" i="9"/>
  <c r="BF219" i="9"/>
  <c r="BF220" i="9"/>
  <c r="BQ19" i="9"/>
  <c r="AK113" i="9"/>
  <c r="AK14" i="9"/>
  <c r="AC219" i="9"/>
  <c r="AC220" i="9"/>
  <c r="AE18" i="9"/>
  <c r="AY128" i="9"/>
  <c r="AU68" i="9"/>
  <c r="AF251" i="9"/>
  <c r="AM220" i="9"/>
  <c r="G219" i="9"/>
  <c r="O243" i="9"/>
  <c r="P18" i="9"/>
  <c r="BJ120" i="9"/>
  <c r="BI240" i="9"/>
  <c r="BP52" i="9"/>
  <c r="AO128" i="9"/>
  <c r="J220" i="9"/>
  <c r="S220" i="9"/>
  <c r="W219" i="9"/>
  <c r="W220" i="9"/>
  <c r="O251" i="9"/>
  <c r="V126" i="9"/>
  <c r="V21" i="9"/>
  <c r="AJ19" i="9"/>
  <c r="BS247" i="9"/>
  <c r="BS200" i="9"/>
  <c r="BT200" i="9"/>
  <c r="BN200" i="9"/>
  <c r="BO200" i="9"/>
  <c r="BP204" i="9"/>
  <c r="BP209" i="9"/>
  <c r="BP244" i="9"/>
  <c r="U114" i="9"/>
  <c r="U14" i="9"/>
  <c r="U15" i="9"/>
  <c r="BP201" i="9"/>
  <c r="BP252" i="9"/>
  <c r="BN199" i="9"/>
  <c r="BO187" i="9"/>
  <c r="BO235" i="9"/>
  <c r="AE255" i="9"/>
  <c r="BC255" i="9"/>
  <c r="K90" i="9"/>
  <c r="AT122" i="9"/>
  <c r="AT128" i="9"/>
  <c r="AT114" i="9"/>
  <c r="AT14" i="9"/>
  <c r="AT115" i="9"/>
  <c r="AK32" i="9"/>
  <c r="AK15" i="9"/>
  <c r="BP65" i="9"/>
  <c r="BP104" i="9"/>
  <c r="BP105" i="9"/>
  <c r="BP113" i="9"/>
  <c r="BP114" i="9"/>
  <c r="BN20" i="9"/>
  <c r="Y92" i="9"/>
  <c r="Y94" i="9"/>
  <c r="Y97" i="9"/>
  <c r="AK33" i="9"/>
  <c r="U122" i="9"/>
  <c r="U128" i="9"/>
  <c r="U147" i="9"/>
  <c r="U26" i="9" s="1"/>
  <c r="G115" i="9"/>
  <c r="F14" i="9"/>
  <c r="F114" i="9"/>
  <c r="W114" i="9"/>
  <c r="AW255" i="9"/>
  <c r="AW92" i="9"/>
  <c r="AW94" i="9"/>
  <c r="AW97" i="9"/>
  <c r="BN240" i="9"/>
  <c r="V90" i="9"/>
  <c r="BG255" i="9"/>
  <c r="AO77" i="9"/>
  <c r="AT77" i="9"/>
  <c r="S14" i="9"/>
  <c r="S15" i="9"/>
  <c r="S122" i="9"/>
  <c r="S128" i="9"/>
  <c r="V68" i="9"/>
  <c r="V11" i="9"/>
  <c r="V12" i="9"/>
  <c r="AV14" i="9"/>
  <c r="AV15" i="9"/>
  <c r="P128" i="9"/>
  <c r="Y81" i="9"/>
  <c r="AK114" i="9"/>
  <c r="BN46" i="9"/>
  <c r="BN70" i="9"/>
  <c r="BN107" i="9"/>
  <c r="N6" i="9"/>
  <c r="L184" i="9"/>
  <c r="BG122" i="9"/>
  <c r="BG128" i="9"/>
  <c r="H184" i="9"/>
  <c r="U81" i="9"/>
  <c r="G7" i="9"/>
  <c r="AZ105" i="9"/>
  <c r="AZ113" i="9"/>
  <c r="AF103" i="9"/>
  <c r="AF105" i="9"/>
  <c r="AF52" i="9"/>
  <c r="AF60" i="9"/>
  <c r="AF9" i="9"/>
  <c r="K120" i="9"/>
  <c r="BC115" i="9"/>
  <c r="K220" i="9"/>
  <c r="T220" i="9"/>
  <c r="H102" i="9"/>
  <c r="M68" i="9"/>
  <c r="M80" i="9"/>
  <c r="M90" i="9"/>
  <c r="BD115" i="9"/>
  <c r="R11" i="9"/>
  <c r="R12" i="9"/>
  <c r="R68" i="9"/>
  <c r="BH219" i="9"/>
  <c r="BH220" i="9"/>
  <c r="BJ67" i="9"/>
  <c r="BJ71" i="9"/>
  <c r="BJ243" i="9"/>
  <c r="BJ235" i="9"/>
  <c r="E220" i="9"/>
  <c r="O67" i="9"/>
  <c r="N145" i="9"/>
  <c r="S67" i="9"/>
  <c r="P240" i="9"/>
  <c r="P243" i="9"/>
  <c r="S244" i="9"/>
  <c r="O247" i="9"/>
  <c r="L251" i="9"/>
  <c r="S251" i="9"/>
  <c r="Z219" i="9"/>
  <c r="Z220" i="9"/>
  <c r="O105" i="9"/>
  <c r="O113" i="9"/>
  <c r="AA126" i="9"/>
  <c r="AA21" i="9"/>
  <c r="BO120" i="9"/>
  <c r="AJ105" i="9"/>
  <c r="AJ113" i="9"/>
  <c r="AJ115" i="9"/>
  <c r="AP217" i="9"/>
  <c r="AP219" i="9"/>
  <c r="AZ217" i="9"/>
  <c r="AZ219" i="9"/>
  <c r="BJ60" i="9"/>
  <c r="BJ9" i="9"/>
  <c r="BG219" i="9"/>
  <c r="BG220" i="9"/>
  <c r="BJ46" i="9"/>
  <c r="BJ52" i="9"/>
  <c r="BJ58" i="9"/>
  <c r="BJ217" i="9"/>
  <c r="BJ219" i="9"/>
  <c r="BP55" i="9"/>
  <c r="AL115" i="9"/>
  <c r="G220" i="9"/>
  <c r="P67" i="9"/>
  <c r="R145" i="9"/>
  <c r="O239" i="9"/>
  <c r="S239" i="9"/>
  <c r="S243" i="9"/>
  <c r="Y244" i="9"/>
  <c r="S248" i="9"/>
  <c r="L252" i="9"/>
  <c r="O252" i="9"/>
  <c r="AH219" i="9"/>
  <c r="AH220" i="9"/>
  <c r="AP247" i="9"/>
  <c r="AQ219" i="9"/>
  <c r="AQ220" i="9"/>
  <c r="BA219" i="9"/>
  <c r="BA220" i="9"/>
  <c r="BC219" i="9"/>
  <c r="BC220" i="9"/>
  <c r="BT19" i="9"/>
  <c r="BJ8" i="9"/>
  <c r="BJ172" i="9"/>
  <c r="BJ239" i="9"/>
  <c r="BJ251" i="9"/>
  <c r="BP46" i="9"/>
  <c r="F220" i="9"/>
  <c r="L67" i="9"/>
  <c r="L240" i="9"/>
  <c r="Y240" i="9"/>
  <c r="O244" i="9"/>
  <c r="L248" i="9"/>
  <c r="O248" i="9"/>
  <c r="S252" i="9"/>
  <c r="AF120" i="9"/>
  <c r="AI219" i="9"/>
  <c r="BE103" i="9"/>
  <c r="BE105" i="9"/>
  <c r="BE113" i="9"/>
  <c r="BE120" i="9"/>
  <c r="BD18" i="9"/>
  <c r="BH32" i="9"/>
  <c r="BJ49" i="9"/>
  <c r="BJ55" i="9"/>
  <c r="BJ236" i="9"/>
  <c r="BP115" i="9"/>
  <c r="BP14" i="9"/>
  <c r="BS240" i="9"/>
  <c r="BS201" i="9"/>
  <c r="BS199" i="9"/>
  <c r="BJ14" i="9"/>
  <c r="BJ122" i="9"/>
  <c r="BJ128" i="9"/>
  <c r="BI122" i="9"/>
  <c r="BI128" i="9"/>
  <c r="BI115" i="9"/>
  <c r="BI14" i="9"/>
  <c r="BI114" i="9"/>
  <c r="BK114" i="9"/>
  <c r="BK122" i="9"/>
  <c r="BK128" i="9"/>
  <c r="BK14" i="9"/>
  <c r="BI68" i="9"/>
  <c r="BP188" i="9"/>
  <c r="BP240" i="9"/>
  <c r="BO236" i="9"/>
  <c r="BO46" i="9"/>
  <c r="AS122" i="9"/>
  <c r="AS128" i="9"/>
  <c r="AS114" i="9"/>
  <c r="AS14" i="9"/>
  <c r="AX16" i="9"/>
  <c r="AS115" i="9"/>
  <c r="V114" i="9"/>
  <c r="V122" i="9"/>
  <c r="V128" i="9"/>
  <c r="V115" i="9"/>
  <c r="V14" i="9"/>
  <c r="AA16" i="9"/>
  <c r="AA115" i="9"/>
  <c r="BH92" i="9"/>
  <c r="BH94" i="9"/>
  <c r="BH97" i="9"/>
  <c r="BH255" i="9"/>
  <c r="AO80" i="9"/>
  <c r="BC22" i="9"/>
  <c r="BC23" i="9"/>
  <c r="BC15" i="9"/>
  <c r="BC16" i="9"/>
  <c r="AF81" i="9"/>
  <c r="AF90" i="9"/>
  <c r="BH33" i="9"/>
  <c r="BH15" i="9"/>
  <c r="BH115" i="9"/>
  <c r="BH114" i="9"/>
  <c r="BH122" i="9"/>
  <c r="BH128" i="9"/>
  <c r="I14" i="9"/>
  <c r="I122" i="9"/>
  <c r="I128" i="9"/>
  <c r="I147" i="9"/>
  <c r="I26" i="9" s="1"/>
  <c r="E14" i="9"/>
  <c r="E114" i="9"/>
  <c r="F115" i="9"/>
  <c r="K14" i="9"/>
  <c r="K122" i="9"/>
  <c r="K128" i="9"/>
  <c r="G92" i="9"/>
  <c r="G94" i="9"/>
  <c r="G97" i="9"/>
  <c r="G255" i="9"/>
  <c r="BN194" i="9"/>
  <c r="BO194" i="9"/>
  <c r="BP194" i="9"/>
  <c r="BO150" i="9"/>
  <c r="Q14" i="9"/>
  <c r="Q114" i="9"/>
  <c r="Q122" i="9"/>
  <c r="Q128" i="9"/>
  <c r="Q115" i="9"/>
  <c r="F68" i="9"/>
  <c r="F11" i="9"/>
  <c r="F12" i="9"/>
  <c r="F80" i="9"/>
  <c r="AA80" i="9"/>
  <c r="AA68" i="9"/>
  <c r="AA11" i="9"/>
  <c r="AA12" i="9"/>
  <c r="AK11" i="9"/>
  <c r="AK12" i="9"/>
  <c r="AK68" i="9"/>
  <c r="W22" i="9"/>
  <c r="W23" i="9"/>
  <c r="AR114" i="9"/>
  <c r="AR115" i="9"/>
  <c r="AR122" i="9"/>
  <c r="AR128" i="9"/>
  <c r="AW115" i="9"/>
  <c r="AR14" i="9"/>
  <c r="AV32" i="9"/>
  <c r="AA33" i="9"/>
  <c r="AA32" i="9"/>
  <c r="AK219" i="9"/>
  <c r="L22" i="9"/>
  <c r="L23" i="9" s="1"/>
  <c r="L33" i="9"/>
  <c r="L32" i="9"/>
  <c r="Z114" i="9"/>
  <c r="Z122" i="9"/>
  <c r="Z128" i="9"/>
  <c r="Z115" i="9"/>
  <c r="AE115" i="9"/>
  <c r="Z14" i="9"/>
  <c r="BG115" i="9"/>
  <c r="BB114" i="9"/>
  <c r="BB14" i="9"/>
  <c r="BF33" i="9"/>
  <c r="AX122" i="9"/>
  <c r="AX128" i="9"/>
  <c r="AX114" i="9"/>
  <c r="AC114" i="9"/>
  <c r="AC122" i="9"/>
  <c r="AC128" i="9"/>
  <c r="AC14" i="9"/>
  <c r="AH115" i="9"/>
  <c r="W15" i="9"/>
  <c r="AX15" i="9"/>
  <c r="W122" i="9"/>
  <c r="W128" i="9"/>
  <c r="J14" i="9"/>
  <c r="O115" i="9"/>
  <c r="J122" i="9"/>
  <c r="J128" i="9"/>
  <c r="J147" i="9"/>
  <c r="J177" i="9" s="1"/>
  <c r="T255" i="9"/>
  <c r="T92" i="9"/>
  <c r="T94" i="9"/>
  <c r="T97" i="9"/>
  <c r="L15" i="9"/>
  <c r="M22" i="9"/>
  <c r="M23" i="9"/>
  <c r="M15" i="9"/>
  <c r="AG22" i="9"/>
  <c r="AG23" i="9"/>
  <c r="AG15" i="9"/>
  <c r="AL16" i="9"/>
  <c r="F32" i="9"/>
  <c r="AY14" i="9"/>
  <c r="BD16" i="9"/>
  <c r="AY114" i="9"/>
  <c r="AY115" i="9"/>
  <c r="AH255" i="9"/>
  <c r="AH92" i="9"/>
  <c r="AH94" i="9"/>
  <c r="AH97" i="9"/>
  <c r="AT15" i="9"/>
  <c r="AT16" i="9"/>
  <c r="BG33" i="9"/>
  <c r="BG32" i="9"/>
  <c r="P114" i="9"/>
  <c r="U115" i="9"/>
  <c r="AF71" i="9"/>
  <c r="AF107" i="9"/>
  <c r="M114" i="9"/>
  <c r="M122" i="9"/>
  <c r="M128" i="9"/>
  <c r="M147" i="9"/>
  <c r="AE14" i="9"/>
  <c r="AE122" i="9"/>
  <c r="AE128" i="9"/>
  <c r="AG77" i="9"/>
  <c r="AB80" i="9"/>
  <c r="AP107" i="9"/>
  <c r="AP113" i="9"/>
  <c r="AP71" i="9"/>
  <c r="BQ59" i="9"/>
  <c r="AU14" i="9"/>
  <c r="AU114" i="9"/>
  <c r="BA115" i="9"/>
  <c r="Y14" i="9"/>
  <c r="Y114" i="9"/>
  <c r="Y122" i="9"/>
  <c r="Y128" i="9"/>
  <c r="BS58" i="9"/>
  <c r="BS55" i="9"/>
  <c r="BS52" i="9"/>
  <c r="BS49" i="9"/>
  <c r="BS46" i="9"/>
  <c r="BS8" i="9"/>
  <c r="BS12" i="9"/>
  <c r="AK22" i="9"/>
  <c r="AK23" i="9"/>
  <c r="Q6" i="9"/>
  <c r="H68" i="9"/>
  <c r="H11" i="9"/>
  <c r="H12" i="9"/>
  <c r="AK60" i="9"/>
  <c r="AK9" i="9"/>
  <c r="AF49" i="9"/>
  <c r="BR59" i="9"/>
  <c r="BA122" i="9"/>
  <c r="BA128" i="9"/>
  <c r="BA14" i="9"/>
  <c r="AI81" i="9"/>
  <c r="AI90" i="9"/>
  <c r="Z12" i="9"/>
  <c r="Z68" i="9"/>
  <c r="Z80" i="9"/>
  <c r="M81" i="9"/>
  <c r="V244" i="9"/>
  <c r="V240" i="9"/>
  <c r="V247" i="9"/>
  <c r="G14" i="9"/>
  <c r="G122" i="9"/>
  <c r="G128" i="9"/>
  <c r="G147" i="9"/>
  <c r="G177" i="9" s="1"/>
  <c r="AW114" i="9"/>
  <c r="AW14" i="9"/>
  <c r="AX33" i="9"/>
  <c r="AY68" i="9"/>
  <c r="AY11" i="9"/>
  <c r="AY12" i="9"/>
  <c r="AM80" i="9"/>
  <c r="AM11" i="9"/>
  <c r="AM12" i="9"/>
  <c r="AM14" i="9"/>
  <c r="AO33" i="9"/>
  <c r="AM114" i="9"/>
  <c r="M220" i="9"/>
  <c r="V220" i="9"/>
  <c r="AD220" i="9"/>
  <c r="AD104" i="9"/>
  <c r="AD105" i="9"/>
  <c r="AD113" i="9"/>
  <c r="AD248" i="9"/>
  <c r="AD240" i="9"/>
  <c r="AD67" i="9"/>
  <c r="AD244" i="9"/>
  <c r="AD251" i="9"/>
  <c r="AD239" i="9"/>
  <c r="BF68" i="9"/>
  <c r="BF11" i="9"/>
  <c r="BF12" i="9"/>
  <c r="AF236" i="9"/>
  <c r="AF8" i="9"/>
  <c r="AF12" i="9"/>
  <c r="AF46" i="9"/>
  <c r="AF235" i="9"/>
  <c r="AI14" i="9"/>
  <c r="AI114" i="9"/>
  <c r="AP126" i="9"/>
  <c r="AP21" i="9"/>
  <c r="AN22" i="9"/>
  <c r="AN23" i="9"/>
  <c r="AN15" i="9"/>
  <c r="W243" i="9"/>
  <c r="W239" i="9"/>
  <c r="W248" i="9"/>
  <c r="W252" i="9"/>
  <c r="W247" i="9"/>
  <c r="W67" i="9"/>
  <c r="X105" i="9"/>
  <c r="X113" i="9"/>
  <c r="H251" i="9"/>
  <c r="H239" i="9"/>
  <c r="H248" i="9"/>
  <c r="H104" i="9"/>
  <c r="H105" i="9"/>
  <c r="H113" i="9"/>
  <c r="H247" i="9"/>
  <c r="H243" i="9"/>
  <c r="I251" i="9"/>
  <c r="I247" i="9"/>
  <c r="I244" i="9"/>
  <c r="I240" i="9"/>
  <c r="I248" i="9"/>
  <c r="I243" i="9"/>
  <c r="AO32" i="9"/>
  <c r="N104" i="9"/>
  <c r="N105" i="9"/>
  <c r="N113" i="9"/>
  <c r="N67" i="9"/>
  <c r="AE219" i="9"/>
  <c r="AE220" i="9"/>
  <c r="AK248" i="9"/>
  <c r="AK240" i="9"/>
  <c r="AK251" i="9"/>
  <c r="BK248" i="9"/>
  <c r="BK244" i="9"/>
  <c r="BK252" i="9"/>
  <c r="AB105" i="9"/>
  <c r="AB113" i="9"/>
  <c r="AG67" i="9"/>
  <c r="AG248" i="9"/>
  <c r="AG240" i="9"/>
  <c r="AG251" i="9"/>
  <c r="AI220" i="9"/>
  <c r="AN219" i="9"/>
  <c r="AN220" i="9"/>
  <c r="AQ105" i="9"/>
  <c r="AQ113" i="9"/>
  <c r="AG243" i="9"/>
  <c r="AG244" i="9"/>
  <c r="AM145" i="9"/>
  <c r="AM147" i="9" s="1"/>
  <c r="AM26" i="9" s="1"/>
  <c r="S19" i="9"/>
  <c r="S22" i="9" s="1"/>
  <c r="S23" i="9" s="1"/>
  <c r="S145" i="9"/>
  <c r="S147" i="9" s="1"/>
  <c r="Q240" i="9"/>
  <c r="Q252" i="9"/>
  <c r="Q67" i="9"/>
  <c r="AP20" i="9"/>
  <c r="AP154" i="9"/>
  <c r="BF145" i="9"/>
  <c r="BF147" i="9" s="1"/>
  <c r="BF19" i="9"/>
  <c r="BF22" i="9"/>
  <c r="BF23" i="9" s="1"/>
  <c r="BT172" i="9"/>
  <c r="AU120" i="9"/>
  <c r="AU122" i="9"/>
  <c r="AU128" i="9"/>
  <c r="AU147" i="9"/>
  <c r="AU26" i="9" s="1"/>
  <c r="AT145" i="9"/>
  <c r="AT147" i="9" s="1"/>
  <c r="AT19" i="9"/>
  <c r="AT22" i="9"/>
  <c r="AT23" i="9" s="1"/>
  <c r="BD220" i="9"/>
  <c r="AV219" i="9"/>
  <c r="AV220" i="9"/>
  <c r="BE60" i="9"/>
  <c r="BE9" i="9"/>
  <c r="AZ8" i="9"/>
  <c r="BK145" i="9"/>
  <c r="BK147" i="9" s="1"/>
  <c r="BK177" i="9" s="1"/>
  <c r="BK19" i="9"/>
  <c r="BJ20" i="9"/>
  <c r="BJ258" i="9"/>
  <c r="BP19" i="9"/>
  <c r="BP22" i="9" s="1"/>
  <c r="BP23" i="9" s="1"/>
  <c r="AR67" i="9"/>
  <c r="BI220" i="9"/>
  <c r="BJ247" i="9"/>
  <c r="BR145" i="9"/>
  <c r="BR147" i="9" s="1"/>
  <c r="BR19" i="9"/>
  <c r="M32" i="9"/>
  <c r="AK122" i="9"/>
  <c r="AK128" i="9"/>
  <c r="BN248" i="9"/>
  <c r="X255" i="9"/>
  <c r="X92" i="9"/>
  <c r="X94" i="9"/>
  <c r="X97" i="9"/>
  <c r="AJ90" i="9"/>
  <c r="AJ81" i="9"/>
  <c r="BO49" i="9"/>
  <c r="BO103" i="9"/>
  <c r="BO8" i="9"/>
  <c r="BO55" i="9"/>
  <c r="BS113" i="9"/>
  <c r="BS14" i="9"/>
  <c r="BO60" i="9"/>
  <c r="BO9" i="9"/>
  <c r="BS114" i="9"/>
  <c r="BS122" i="9"/>
  <c r="M33" i="9"/>
  <c r="BP122" i="9"/>
  <c r="I81" i="9"/>
  <c r="I90" i="9"/>
  <c r="BS236" i="9"/>
  <c r="BS248" i="9"/>
  <c r="AC92" i="9"/>
  <c r="AC94" i="9"/>
  <c r="AC97" i="9"/>
  <c r="AC255" i="9"/>
  <c r="R255" i="9"/>
  <c r="R92" i="9"/>
  <c r="R94" i="9"/>
  <c r="R97" i="9"/>
  <c r="AX92" i="9"/>
  <c r="AX94" i="9"/>
  <c r="AX97" i="9"/>
  <c r="AX255" i="9"/>
  <c r="AN81" i="9"/>
  <c r="AN90" i="9"/>
  <c r="J6" i="9"/>
  <c r="I7" i="9"/>
  <c r="I102" i="9"/>
  <c r="I42" i="9"/>
  <c r="I184" i="9"/>
  <c r="E90" i="9"/>
  <c r="E81" i="9"/>
  <c r="BN105" i="9"/>
  <c r="BN113" i="9"/>
  <c r="BT154" i="9"/>
  <c r="BT20" i="9"/>
  <c r="BE14" i="9"/>
  <c r="BJ16" i="9"/>
  <c r="BE114" i="9"/>
  <c r="BE115" i="9"/>
  <c r="BJ115" i="9"/>
  <c r="BE122" i="9"/>
  <c r="BE128" i="9"/>
  <c r="BE147" i="9"/>
  <c r="BE177" i="9" s="1"/>
  <c r="BE27" i="9" s="1"/>
  <c r="L80" i="9"/>
  <c r="L68" i="9"/>
  <c r="L11" i="9"/>
  <c r="L12" i="9"/>
  <c r="AJ114" i="9"/>
  <c r="AJ122" i="9"/>
  <c r="AJ128" i="9"/>
  <c r="AO115" i="9"/>
  <c r="AJ14" i="9"/>
  <c r="AJ33" i="9"/>
  <c r="F33" i="9"/>
  <c r="F15" i="9"/>
  <c r="AA128" i="9"/>
  <c r="O80" i="9"/>
  <c r="O11" i="9"/>
  <c r="O12" i="9"/>
  <c r="O68" i="9"/>
  <c r="K92" i="9"/>
  <c r="K94" i="9"/>
  <c r="K97" i="9"/>
  <c r="K255" i="9"/>
  <c r="BF32" i="9"/>
  <c r="AV33" i="9"/>
  <c r="BJ68" i="9"/>
  <c r="BJ11" i="9"/>
  <c r="BJ12" i="9"/>
  <c r="N42" i="9"/>
  <c r="O6" i="9"/>
  <c r="N7" i="9"/>
  <c r="N184" i="9"/>
  <c r="N102" i="9"/>
  <c r="BN244" i="9"/>
  <c r="BO199" i="9"/>
  <c r="BO204" i="9"/>
  <c r="BO209" i="9"/>
  <c r="BN204" i="9"/>
  <c r="BN209" i="9"/>
  <c r="BD32" i="9"/>
  <c r="AF113" i="9"/>
  <c r="AK115" i="9"/>
  <c r="P11" i="9"/>
  <c r="P12" i="9"/>
  <c r="P80" i="9"/>
  <c r="P68" i="9"/>
  <c r="O14" i="9"/>
  <c r="O114" i="9"/>
  <c r="O122" i="9"/>
  <c r="O128" i="9"/>
  <c r="S68" i="9"/>
  <c r="S11" i="9"/>
  <c r="S12" i="9"/>
  <c r="S80" i="9"/>
  <c r="AZ14" i="9"/>
  <c r="AZ15" i="9"/>
  <c r="AZ114" i="9"/>
  <c r="AZ115" i="9"/>
  <c r="AZ122" i="9"/>
  <c r="AZ128" i="9"/>
  <c r="V255" i="9"/>
  <c r="V92" i="9"/>
  <c r="V94" i="9"/>
  <c r="V97" i="9"/>
  <c r="AP122" i="9"/>
  <c r="AP128" i="9"/>
  <c r="AP114" i="9"/>
  <c r="AP14" i="9"/>
  <c r="AU16" i="9"/>
  <c r="AP115" i="9"/>
  <c r="AU115" i="9"/>
  <c r="AF114" i="9"/>
  <c r="AB122" i="9"/>
  <c r="AB128" i="9"/>
  <c r="AB114" i="9"/>
  <c r="AG115" i="9"/>
  <c r="AB14" i="9"/>
  <c r="AC33" i="9"/>
  <c r="AB115" i="9"/>
  <c r="N11" i="9"/>
  <c r="N12" i="9"/>
  <c r="N80" i="9"/>
  <c r="N68" i="9"/>
  <c r="AD80" i="9"/>
  <c r="AD11" i="9"/>
  <c r="AD12" i="9"/>
  <c r="AD68" i="9"/>
  <c r="AM32" i="9"/>
  <c r="AM15" i="9"/>
  <c r="AM16" i="9"/>
  <c r="G26" i="9"/>
  <c r="M255" i="9"/>
  <c r="M92" i="9"/>
  <c r="M94" i="9"/>
  <c r="M97" i="9"/>
  <c r="AI255" i="9"/>
  <c r="AI92" i="9"/>
  <c r="AI94" i="9"/>
  <c r="AI97" i="9"/>
  <c r="Y22" i="9"/>
  <c r="Y23" i="9" s="1"/>
  <c r="Y15" i="9"/>
  <c r="AU22" i="9"/>
  <c r="AU23" i="9" s="1"/>
  <c r="AU32" i="9"/>
  <c r="AU33" i="9"/>
  <c r="AU15" i="9"/>
  <c r="BO72" i="9"/>
  <c r="M26" i="9"/>
  <c r="M177" i="9"/>
  <c r="M27" i="9" s="1"/>
  <c r="AJ32" i="9"/>
  <c r="J15" i="9"/>
  <c r="O16" i="9"/>
  <c r="BB15" i="9"/>
  <c r="BG16" i="9"/>
  <c r="BB32" i="9"/>
  <c r="BB16" i="9"/>
  <c r="BB33" i="9"/>
  <c r="BE26" i="9"/>
  <c r="AR15" i="9"/>
  <c r="AR16" i="9"/>
  <c r="Q22" i="9"/>
  <c r="Q23" i="9" s="1"/>
  <c r="Q33" i="9"/>
  <c r="Q15" i="9"/>
  <c r="Q16" i="9"/>
  <c r="Q32" i="9"/>
  <c r="BD33" i="9"/>
  <c r="BS244" i="9"/>
  <c r="BS204" i="9"/>
  <c r="BS209" i="9"/>
  <c r="BT199" i="9"/>
  <c r="Q80" i="9"/>
  <c r="Q11" i="9"/>
  <c r="Q12" i="9"/>
  <c r="Q68" i="9"/>
  <c r="AQ114" i="9"/>
  <c r="AQ14" i="9"/>
  <c r="AR33" i="9"/>
  <c r="AQ115" i="9"/>
  <c r="AQ122" i="9"/>
  <c r="AQ128" i="9"/>
  <c r="N115" i="9"/>
  <c r="N14" i="9"/>
  <c r="N114" i="9"/>
  <c r="S115" i="9"/>
  <c r="N122" i="9"/>
  <c r="N128" i="9"/>
  <c r="N147" i="9"/>
  <c r="H122" i="9"/>
  <c r="H128" i="9"/>
  <c r="H14" i="9"/>
  <c r="M115" i="9"/>
  <c r="H114" i="9"/>
  <c r="X114" i="9"/>
  <c r="X14" i="9"/>
  <c r="Y33" i="9"/>
  <c r="X122" i="9"/>
  <c r="X128" i="9"/>
  <c r="X115" i="9"/>
  <c r="AC115" i="9"/>
  <c r="G22" i="9"/>
  <c r="G23" i="9" s="1"/>
  <c r="G15" i="9"/>
  <c r="G32" i="9"/>
  <c r="G16" i="9"/>
  <c r="G33" i="9"/>
  <c r="Z81" i="9"/>
  <c r="Z90" i="9"/>
  <c r="AL32" i="9"/>
  <c r="AZ12" i="9"/>
  <c r="AB90" i="9"/>
  <c r="AB81" i="9"/>
  <c r="AC32" i="9"/>
  <c r="AC15" i="9"/>
  <c r="AH16" i="9"/>
  <c r="L16" i="9"/>
  <c r="AA90" i="9"/>
  <c r="AA81" i="9"/>
  <c r="E33" i="9"/>
  <c r="F16" i="9"/>
  <c r="E15" i="9"/>
  <c r="E32" i="9"/>
  <c r="V22" i="9"/>
  <c r="V23" i="9"/>
  <c r="V33" i="9"/>
  <c r="V32" i="9"/>
  <c r="V16" i="9"/>
  <c r="V15" i="9"/>
  <c r="BK33" i="9"/>
  <c r="BK32" i="9"/>
  <c r="BK22" i="9"/>
  <c r="BK23" i="9"/>
  <c r="BK16" i="9"/>
  <c r="BK15" i="9"/>
  <c r="BI33" i="9"/>
  <c r="BI32" i="9"/>
  <c r="BI15" i="9"/>
  <c r="BI16" i="9"/>
  <c r="BJ15" i="9"/>
  <c r="BJ32" i="9"/>
  <c r="BJ33" i="9"/>
  <c r="BT201" i="9"/>
  <c r="BS252" i="9"/>
  <c r="BP16" i="9"/>
  <c r="BP15" i="9"/>
  <c r="AR11" i="9"/>
  <c r="AR12" i="9"/>
  <c r="AR80" i="9"/>
  <c r="AR68" i="9"/>
  <c r="W80" i="9"/>
  <c r="W11" i="9"/>
  <c r="W12" i="9"/>
  <c r="W68" i="9"/>
  <c r="AI22" i="9"/>
  <c r="AI23" i="9" s="1"/>
  <c r="AI33" i="9"/>
  <c r="AI32" i="9"/>
  <c r="AI15" i="9"/>
  <c r="AN16" i="9"/>
  <c r="AM81" i="9"/>
  <c r="AM90" i="9"/>
  <c r="AW33" i="9"/>
  <c r="AW32" i="9"/>
  <c r="AW15" i="9"/>
  <c r="AW16" i="9"/>
  <c r="BA32" i="9"/>
  <c r="BF16" i="9"/>
  <c r="BA33" i="9"/>
  <c r="BA16" i="9"/>
  <c r="BA15" i="9"/>
  <c r="BR58" i="9"/>
  <c r="BR55" i="9"/>
  <c r="BR52" i="9"/>
  <c r="BR49" i="9"/>
  <c r="BR46" i="9"/>
  <c r="BR8" i="9"/>
  <c r="BR67" i="9"/>
  <c r="BR72" i="9"/>
  <c r="BR108" i="9"/>
  <c r="BR64" i="9"/>
  <c r="BR103" i="9"/>
  <c r="BR70" i="9"/>
  <c r="BR107" i="9"/>
  <c r="BR150" i="9"/>
  <c r="AL33" i="9"/>
  <c r="AV115" i="9"/>
  <c r="BO64" i="9"/>
  <c r="BO65" i="9"/>
  <c r="BO251" i="9"/>
  <c r="BO107" i="9"/>
  <c r="BO70" i="9"/>
  <c r="BO71" i="9"/>
  <c r="BQ58" i="9"/>
  <c r="BQ52" i="9"/>
  <c r="BQ46" i="9"/>
  <c r="BQ8" i="9"/>
  <c r="BQ49" i="9"/>
  <c r="BQ55" i="9"/>
  <c r="BQ103" i="9"/>
  <c r="BQ187" i="9"/>
  <c r="BQ236" i="9"/>
  <c r="BQ67" i="9"/>
  <c r="BQ64" i="9"/>
  <c r="BQ72" i="9"/>
  <c r="BQ70" i="9"/>
  <c r="BT59" i="9"/>
  <c r="BQ150" i="9"/>
  <c r="BQ194" i="9" s="1"/>
  <c r="BR194" i="9" s="1"/>
  <c r="BS194" i="9" s="1"/>
  <c r="BT194" i="9" s="1"/>
  <c r="AL77" i="9"/>
  <c r="AK77" i="9"/>
  <c r="AK80" i="9"/>
  <c r="AX32" i="9"/>
  <c r="F81" i="9"/>
  <c r="F90" i="9"/>
  <c r="K33" i="9"/>
  <c r="K32" i="9"/>
  <c r="K22" i="9"/>
  <c r="K23" i="9" s="1"/>
  <c r="K15" i="9"/>
  <c r="BC32" i="9"/>
  <c r="AO90" i="9"/>
  <c r="AO81" i="9"/>
  <c r="AS15" i="9"/>
  <c r="AS16" i="9"/>
  <c r="AG11" i="9"/>
  <c r="AG12" i="9"/>
  <c r="AG68" i="9"/>
  <c r="AG80" i="9"/>
  <c r="AD115" i="9"/>
  <c r="AI115" i="9"/>
  <c r="AD14" i="9"/>
  <c r="AG33" i="9"/>
  <c r="AD122" i="9"/>
  <c r="AD128" i="9"/>
  <c r="AD114" i="9"/>
  <c r="Q184" i="9"/>
  <c r="Q7" i="9"/>
  <c r="Q102" i="9"/>
  <c r="V6" i="9"/>
  <c r="R6" i="9"/>
  <c r="Q42" i="9"/>
  <c r="AE15" i="9"/>
  <c r="AE16" i="9"/>
  <c r="AY33" i="9"/>
  <c r="AY32" i="9"/>
  <c r="AY16" i="9"/>
  <c r="AY15" i="9"/>
  <c r="Z32" i="9"/>
  <c r="Z22" i="9"/>
  <c r="Z23" i="9" s="1"/>
  <c r="Z15" i="9"/>
  <c r="Z16" i="9"/>
  <c r="BO154" i="9"/>
  <c r="BO20" i="9"/>
  <c r="BO258" i="9"/>
  <c r="I22" i="9"/>
  <c r="I23" i="9" s="1"/>
  <c r="I15" i="9"/>
  <c r="AF255" i="9"/>
  <c r="AF92" i="9"/>
  <c r="AF94" i="9"/>
  <c r="AF97" i="9"/>
  <c r="BC33" i="9"/>
  <c r="AY77" i="9"/>
  <c r="AT80" i="9"/>
  <c r="BS15" i="9"/>
  <c r="AZ16" i="9"/>
  <c r="AM33" i="9"/>
  <c r="AF122" i="9"/>
  <c r="AF128" i="9"/>
  <c r="AJ255" i="9"/>
  <c r="AJ92" i="9"/>
  <c r="AJ94" i="9"/>
  <c r="AJ97" i="9"/>
  <c r="AF115" i="9"/>
  <c r="AJ16" i="9"/>
  <c r="BN115" i="9"/>
  <c r="BS115" i="9"/>
  <c r="BN122" i="9"/>
  <c r="BN114" i="9"/>
  <c r="BN14" i="9"/>
  <c r="BN15" i="9"/>
  <c r="J42" i="9"/>
  <c r="J102" i="9"/>
  <c r="J184" i="9"/>
  <c r="K6" i="9"/>
  <c r="J7" i="9"/>
  <c r="AF14" i="9"/>
  <c r="AF33" i="9"/>
  <c r="AN255" i="9"/>
  <c r="AN92" i="9"/>
  <c r="AN94" i="9"/>
  <c r="AN97" i="9"/>
  <c r="E92" i="9"/>
  <c r="E94" i="9"/>
  <c r="E97" i="9"/>
  <c r="E255" i="9"/>
  <c r="I92" i="9"/>
  <c r="I94" i="9"/>
  <c r="I97" i="9"/>
  <c r="I255" i="9"/>
  <c r="AE32" i="9"/>
  <c r="AH33" i="9"/>
  <c r="AZ32" i="9"/>
  <c r="AZ33" i="9"/>
  <c r="AZ22" i="9"/>
  <c r="AZ23" i="9" s="1"/>
  <c r="P6" i="9"/>
  <c r="O42" i="9"/>
  <c r="O102" i="9"/>
  <c r="O184" i="9"/>
  <c r="O7" i="9"/>
  <c r="AO16" i="9"/>
  <c r="AJ15" i="9"/>
  <c r="AJ22" i="9"/>
  <c r="AJ23" i="9" s="1"/>
  <c r="AN33" i="9"/>
  <c r="AN32" i="9"/>
  <c r="AE33" i="9"/>
  <c r="AS32" i="9"/>
  <c r="AI16" i="9"/>
  <c r="S81" i="9"/>
  <c r="S90" i="9"/>
  <c r="P90" i="9"/>
  <c r="P81" i="9"/>
  <c r="O81" i="9"/>
  <c r="O90" i="9"/>
  <c r="O15" i="9"/>
  <c r="L90" i="9"/>
  <c r="L81" i="9"/>
  <c r="BE16" i="9"/>
  <c r="BE33" i="9"/>
  <c r="BE15" i="9"/>
  <c r="BE22" i="9"/>
  <c r="BE23" i="9" s="1"/>
  <c r="BE32" i="9"/>
  <c r="BD77" i="9"/>
  <c r="AY80" i="9"/>
  <c r="AO255" i="9"/>
  <c r="AO92" i="9"/>
  <c r="AO94" i="9"/>
  <c r="AO97" i="9"/>
  <c r="Z33" i="9"/>
  <c r="AD22" i="9"/>
  <c r="AD23" i="9" s="1"/>
  <c r="AD33" i="9"/>
  <c r="AD32" i="9"/>
  <c r="AD16" i="9"/>
  <c r="AD15" i="9"/>
  <c r="AH32" i="9"/>
  <c r="AS33" i="9"/>
  <c r="F255" i="9"/>
  <c r="F92" i="9"/>
  <c r="F94" i="9"/>
  <c r="F97" i="9"/>
  <c r="AL80" i="9"/>
  <c r="AQ77" i="9"/>
  <c r="AP77" i="9"/>
  <c r="AP80" i="9"/>
  <c r="AC16" i="9"/>
  <c r="AG32" i="9"/>
  <c r="AB33" i="9"/>
  <c r="AB32" i="9"/>
  <c r="AB15" i="9"/>
  <c r="AB16" i="9"/>
  <c r="AG16" i="9"/>
  <c r="AF15" i="9"/>
  <c r="AK16" i="9"/>
  <c r="AF32" i="9"/>
  <c r="AF16" i="9"/>
  <c r="S6" i="9"/>
  <c r="R184" i="9"/>
  <c r="R102" i="9"/>
  <c r="R42" i="9"/>
  <c r="R7" i="9"/>
  <c r="AG90" i="9"/>
  <c r="AG81" i="9"/>
  <c r="BQ154" i="9"/>
  <c r="BQ20" i="9"/>
  <c r="BQ108" i="9"/>
  <c r="BT72" i="9"/>
  <c r="BR80" i="9"/>
  <c r="BR90" i="9"/>
  <c r="BR11" i="9"/>
  <c r="BR12" i="9"/>
  <c r="W90" i="9"/>
  <c r="W81" i="9"/>
  <c r="AB255" i="9"/>
  <c r="AB92" i="9"/>
  <c r="AB94" i="9"/>
  <c r="AB97" i="9"/>
  <c r="X15" i="9"/>
  <c r="X16" i="9"/>
  <c r="H22" i="9"/>
  <c r="H23" i="9" s="1"/>
  <c r="H15" i="9"/>
  <c r="M16" i="9"/>
  <c r="BT204" i="9"/>
  <c r="BT209" i="9"/>
  <c r="BO108" i="9"/>
  <c r="BO73" i="9"/>
  <c r="N90" i="9"/>
  <c r="N81" i="9"/>
  <c r="AP32" i="9"/>
  <c r="AP16" i="9"/>
  <c r="AP33" i="9"/>
  <c r="AP15" i="9"/>
  <c r="AT81" i="9"/>
  <c r="AT90" i="9"/>
  <c r="W6" i="9"/>
  <c r="V102" i="9"/>
  <c r="V42" i="9"/>
  <c r="V7" i="9"/>
  <c r="V184" i="9"/>
  <c r="BT60" i="9"/>
  <c r="BT9" i="9"/>
  <c r="BT236" i="9"/>
  <c r="BT46" i="9"/>
  <c r="BT55" i="9"/>
  <c r="BT52" i="9"/>
  <c r="BT49" i="9"/>
  <c r="BT8" i="9"/>
  <c r="BT103" i="9"/>
  <c r="BT58" i="9"/>
  <c r="BT235" i="9"/>
  <c r="BT258" i="9"/>
  <c r="BQ80" i="9"/>
  <c r="BQ11" i="9"/>
  <c r="BQ12" i="9"/>
  <c r="BR154" i="9"/>
  <c r="BR20" i="9"/>
  <c r="BR65" i="9"/>
  <c r="BR104" i="9"/>
  <c r="BR105" i="9"/>
  <c r="BR113" i="9"/>
  <c r="AA255" i="9"/>
  <c r="AA92" i="9"/>
  <c r="AA94" i="9"/>
  <c r="AA97" i="9"/>
  <c r="N33" i="9"/>
  <c r="N32" i="9"/>
  <c r="N15" i="9"/>
  <c r="N16" i="9"/>
  <c r="S16" i="9"/>
  <c r="O32" i="9"/>
  <c r="O33" i="9"/>
  <c r="AQ33" i="9"/>
  <c r="AQ32" i="9"/>
  <c r="AQ22" i="9"/>
  <c r="AQ23" i="9"/>
  <c r="AQ16" i="9"/>
  <c r="AQ15" i="9"/>
  <c r="AT32" i="9"/>
  <c r="AV16" i="9"/>
  <c r="AT33" i="9"/>
  <c r="Q81" i="9"/>
  <c r="Q90" i="9"/>
  <c r="P14" i="9"/>
  <c r="AK90" i="9"/>
  <c r="AK81" i="9"/>
  <c r="BQ107" i="9"/>
  <c r="BT107" i="9" s="1"/>
  <c r="BT70" i="9"/>
  <c r="BT71" i="9"/>
  <c r="AM255" i="9"/>
  <c r="AM92" i="9"/>
  <c r="AM94" i="9"/>
  <c r="AM97" i="9"/>
  <c r="AR81" i="9"/>
  <c r="AR90" i="9"/>
  <c r="Z92" i="9"/>
  <c r="Z94" i="9"/>
  <c r="Z97" i="9"/>
  <c r="Z255" i="9"/>
  <c r="N177" i="9"/>
  <c r="N27" i="9" s="1"/>
  <c r="N26" i="9"/>
  <c r="AR32" i="9"/>
  <c r="Y32" i="9"/>
  <c r="AD81" i="9"/>
  <c r="AD90" i="9"/>
  <c r="K42" i="9"/>
  <c r="K7" i="9"/>
  <c r="K102" i="9"/>
  <c r="K184" i="9"/>
  <c r="BN16" i="9"/>
  <c r="BS16" i="9"/>
  <c r="L92" i="9"/>
  <c r="L94" i="9"/>
  <c r="L97" i="9"/>
  <c r="L255" i="9"/>
  <c r="O255" i="9"/>
  <c r="O92" i="9"/>
  <c r="O94" i="9"/>
  <c r="O97" i="9"/>
  <c r="S92" i="9"/>
  <c r="S94" i="9"/>
  <c r="S97" i="9"/>
  <c r="S255" i="9"/>
  <c r="P102" i="9"/>
  <c r="P42" i="9"/>
  <c r="P7" i="9"/>
  <c r="P184" i="9"/>
  <c r="P255" i="9"/>
  <c r="P92" i="9"/>
  <c r="P94" i="9"/>
  <c r="P97" i="9"/>
  <c r="BR114" i="9"/>
  <c r="AD255" i="9"/>
  <c r="AD92" i="9"/>
  <c r="AD94" i="9"/>
  <c r="AD97" i="9"/>
  <c r="BQ90" i="9"/>
  <c r="BQ81" i="9"/>
  <c r="X6" i="9"/>
  <c r="W42" i="9"/>
  <c r="W7" i="9"/>
  <c r="W102" i="9"/>
  <c r="W184" i="9"/>
  <c r="AY90" i="9"/>
  <c r="AY81" i="9"/>
  <c r="AK92" i="9"/>
  <c r="AK94" i="9"/>
  <c r="AK97" i="9"/>
  <c r="AK255" i="9"/>
  <c r="Q255" i="9"/>
  <c r="Q92" i="9"/>
  <c r="Q94" i="9"/>
  <c r="Q97" i="9"/>
  <c r="AT92" i="9"/>
  <c r="AT94" i="9"/>
  <c r="AT97" i="9"/>
  <c r="AT255" i="9"/>
  <c r="N92" i="9"/>
  <c r="N94" i="9"/>
  <c r="N97" i="9"/>
  <c r="N255" i="9"/>
  <c r="W255" i="9"/>
  <c r="W92" i="9"/>
  <c r="W94" i="9"/>
  <c r="W97" i="9"/>
  <c r="S102" i="9"/>
  <c r="S7" i="9"/>
  <c r="S184" i="9"/>
  <c r="T6" i="9"/>
  <c r="S42" i="9"/>
  <c r="AP81" i="9"/>
  <c r="AP90" i="9"/>
  <c r="BI77" i="9"/>
  <c r="BD80" i="9"/>
  <c r="AR255" i="9"/>
  <c r="AR92" i="9"/>
  <c r="AR94" i="9"/>
  <c r="AR97" i="9"/>
  <c r="BT73" i="9"/>
  <c r="BT108" i="9"/>
  <c r="AV77" i="9"/>
  <c r="AQ80" i="9"/>
  <c r="AU77" i="9"/>
  <c r="AU80" i="9"/>
  <c r="P33" i="9"/>
  <c r="P32" i="9"/>
  <c r="P16" i="9"/>
  <c r="P15" i="9"/>
  <c r="U16" i="9"/>
  <c r="BR81" i="9"/>
  <c r="AG255" i="9"/>
  <c r="AG92" i="9"/>
  <c r="AG94" i="9"/>
  <c r="AG97" i="9"/>
  <c r="AL81" i="9"/>
  <c r="AL90" i="9"/>
  <c r="AU90" i="9"/>
  <c r="AU81" i="9"/>
  <c r="AQ90" i="9"/>
  <c r="AQ81" i="9"/>
  <c r="T102" i="9"/>
  <c r="T7" i="9"/>
  <c r="U6" i="9"/>
  <c r="T42" i="9"/>
  <c r="T184" i="9"/>
  <c r="X7" i="9"/>
  <c r="X102" i="9"/>
  <c r="X184" i="9"/>
  <c r="X42" i="9"/>
  <c r="Y6" i="9"/>
  <c r="AL92" i="9"/>
  <c r="AL94" i="9"/>
  <c r="AL97" i="9"/>
  <c r="AL255" i="9"/>
  <c r="BA77" i="9"/>
  <c r="AV80" i="9"/>
  <c r="AZ77" i="9"/>
  <c r="AZ80" i="9"/>
  <c r="BD90" i="9"/>
  <c r="BD81" i="9"/>
  <c r="AP255" i="9"/>
  <c r="AP92" i="9"/>
  <c r="AP94" i="9"/>
  <c r="AP97" i="9"/>
  <c r="AY255" i="9"/>
  <c r="AY92" i="9"/>
  <c r="AY94" i="9"/>
  <c r="AY97" i="9"/>
  <c r="BN77" i="9"/>
  <c r="BI80" i="9"/>
  <c r="BD92" i="9"/>
  <c r="BD94" i="9"/>
  <c r="BD97" i="9"/>
  <c r="BD255" i="9"/>
  <c r="BS77" i="9"/>
  <c r="BS80" i="9"/>
  <c r="BN80" i="9"/>
  <c r="AV81" i="9"/>
  <c r="AV90" i="9"/>
  <c r="Y184" i="9"/>
  <c r="Y7" i="9"/>
  <c r="Y102" i="9"/>
  <c r="Y42" i="9"/>
  <c r="Z6" i="9"/>
  <c r="AQ255" i="9"/>
  <c r="AQ92" i="9"/>
  <c r="AQ94" i="9"/>
  <c r="AQ97" i="9"/>
  <c r="BI81" i="9"/>
  <c r="BI90" i="9"/>
  <c r="BE77" i="9"/>
  <c r="BE80" i="9"/>
  <c r="BF77" i="9"/>
  <c r="BA80" i="9"/>
  <c r="AU92" i="9"/>
  <c r="AU94" i="9"/>
  <c r="AU97" i="9"/>
  <c r="AU255" i="9"/>
  <c r="AZ81" i="9"/>
  <c r="AZ90" i="9"/>
  <c r="U102" i="9"/>
  <c r="U7" i="9"/>
  <c r="U184" i="9"/>
  <c r="U42" i="9"/>
  <c r="BJ77" i="9"/>
  <c r="BJ80" i="9"/>
  <c r="BK77" i="9"/>
  <c r="BF80" i="9"/>
  <c r="BE90" i="9"/>
  <c r="BE81" i="9"/>
  <c r="BN81" i="9"/>
  <c r="BN90" i="9"/>
  <c r="AZ255" i="9"/>
  <c r="AZ92" i="9"/>
  <c r="AZ94" i="9"/>
  <c r="AZ97" i="9"/>
  <c r="BI92" i="9"/>
  <c r="BI94" i="9"/>
  <c r="BI97" i="9"/>
  <c r="BI255" i="9"/>
  <c r="BN255" i="9"/>
  <c r="AA6" i="9"/>
  <c r="Z42" i="9"/>
  <c r="Z102" i="9"/>
  <c r="Z7" i="9"/>
  <c r="Z184" i="9"/>
  <c r="BS90" i="9"/>
  <c r="BS81" i="9"/>
  <c r="BA90" i="9"/>
  <c r="BA81" i="9"/>
  <c r="AV92" i="9"/>
  <c r="AV94" i="9"/>
  <c r="AV97" i="9"/>
  <c r="AV255" i="9"/>
  <c r="BA255" i="9"/>
  <c r="BA92" i="9"/>
  <c r="BA94" i="9"/>
  <c r="BA97" i="9"/>
  <c r="AA184" i="9"/>
  <c r="AB6" i="9"/>
  <c r="AA102" i="9"/>
  <c r="AA42" i="9"/>
  <c r="AA7" i="9"/>
  <c r="BF81" i="9"/>
  <c r="BF90" i="9"/>
  <c r="BS255" i="9"/>
  <c r="BS91" i="9"/>
  <c r="BS124" i="9"/>
  <c r="BS126" i="9"/>
  <c r="BN91" i="9"/>
  <c r="BO91" i="9" s="1"/>
  <c r="BO124" i="9" s="1"/>
  <c r="BO126" i="9" s="1"/>
  <c r="BO21" i="9" s="1"/>
  <c r="BN124" i="9"/>
  <c r="BN126" i="9"/>
  <c r="BP77" i="9"/>
  <c r="BT77" i="9" s="1"/>
  <c r="BO77" i="9"/>
  <c r="BK80" i="9"/>
  <c r="BE255" i="9"/>
  <c r="BE92" i="9"/>
  <c r="BE94" i="9"/>
  <c r="BE97" i="9"/>
  <c r="BJ81" i="9"/>
  <c r="BJ90" i="9"/>
  <c r="BS21" i="9"/>
  <c r="BS128" i="9"/>
  <c r="BF92" i="9"/>
  <c r="BF94" i="9"/>
  <c r="BF97" i="9"/>
  <c r="BF255" i="9"/>
  <c r="BJ255" i="9"/>
  <c r="BJ92" i="9"/>
  <c r="BJ94" i="9"/>
  <c r="BJ97" i="9"/>
  <c r="BS92" i="9"/>
  <c r="BS94" i="9"/>
  <c r="BS97" i="9"/>
  <c r="BN92" i="9"/>
  <c r="BN94" i="9"/>
  <c r="AB7" i="9"/>
  <c r="AC6" i="9"/>
  <c r="AB102" i="9"/>
  <c r="AB42" i="9"/>
  <c r="AB184" i="9"/>
  <c r="BN128" i="9"/>
  <c r="BN21" i="9"/>
  <c r="BK90" i="9"/>
  <c r="BK81" i="9"/>
  <c r="BP80" i="9"/>
  <c r="BP90" i="9"/>
  <c r="BP81" i="9"/>
  <c r="BN97" i="9"/>
  <c r="BN215" i="9"/>
  <c r="BK255" i="9"/>
  <c r="BP255" i="9"/>
  <c r="BP91" i="9"/>
  <c r="BK92" i="9"/>
  <c r="BK94" i="9"/>
  <c r="BK97" i="9"/>
  <c r="AC184" i="9"/>
  <c r="AC102" i="9"/>
  <c r="AC42" i="9"/>
  <c r="AC7" i="9"/>
  <c r="AD6" i="9"/>
  <c r="AD7" i="9"/>
  <c r="AD184" i="9"/>
  <c r="AD102" i="9"/>
  <c r="AD42" i="9"/>
  <c r="AE6" i="9"/>
  <c r="BP124" i="9"/>
  <c r="BP126" i="9"/>
  <c r="BT91" i="9"/>
  <c r="BP92" i="9"/>
  <c r="BP94" i="9"/>
  <c r="BP97" i="9"/>
  <c r="BP21" i="9"/>
  <c r="BP128" i="9"/>
  <c r="AE7" i="9"/>
  <c r="AE42" i="9"/>
  <c r="AE184" i="9"/>
  <c r="AF6" i="9"/>
  <c r="AE102" i="9"/>
  <c r="BT124" i="9"/>
  <c r="BT126" i="9"/>
  <c r="BT21" i="9"/>
  <c r="AG6" i="9"/>
  <c r="AF42" i="9"/>
  <c r="AF102" i="9"/>
  <c r="AF7" i="9"/>
  <c r="AF184" i="9"/>
  <c r="AG7" i="9"/>
  <c r="AG102" i="9"/>
  <c r="AG42" i="9"/>
  <c r="AH6" i="9"/>
  <c r="AG184" i="9"/>
  <c r="AH184" i="9"/>
  <c r="AH7" i="9"/>
  <c r="AI6" i="9"/>
  <c r="AH42" i="9"/>
  <c r="AH102" i="9"/>
  <c r="AI42" i="9"/>
  <c r="AJ6" i="9"/>
  <c r="AI184" i="9"/>
  <c r="AI102" i="9"/>
  <c r="AI7" i="9"/>
  <c r="AJ102" i="9"/>
  <c r="AK6" i="9"/>
  <c r="AJ7" i="9"/>
  <c r="AJ42" i="9"/>
  <c r="AJ184" i="9"/>
  <c r="AK42" i="9"/>
  <c r="AK102" i="9"/>
  <c r="AK7" i="9"/>
  <c r="AL6" i="9"/>
  <c r="AK184" i="9"/>
  <c r="AL184" i="9"/>
  <c r="AL7" i="9"/>
  <c r="AL42" i="9"/>
  <c r="AM6" i="9"/>
  <c r="AL102" i="9"/>
  <c r="AM184" i="9"/>
  <c r="AM42" i="9"/>
  <c r="AM7" i="9"/>
  <c r="AM102" i="9"/>
  <c r="AN6" i="9"/>
  <c r="AO6" i="9"/>
  <c r="AN42" i="9"/>
  <c r="AN7" i="9"/>
  <c r="AN102" i="9"/>
  <c r="AN184" i="9"/>
  <c r="AO42" i="9"/>
  <c r="AO102" i="9"/>
  <c r="AP6" i="9"/>
  <c r="AO184" i="9"/>
  <c r="AO7" i="9"/>
  <c r="AP7" i="9"/>
  <c r="AP42" i="9"/>
  <c r="AP102" i="9"/>
  <c r="AQ6" i="9"/>
  <c r="AP184" i="9"/>
  <c r="AQ42" i="9"/>
  <c r="AQ102" i="9"/>
  <c r="AR6" i="9"/>
  <c r="AQ7" i="9"/>
  <c r="AQ184" i="9"/>
  <c r="AS6" i="9"/>
  <c r="AR7" i="9"/>
  <c r="AR102" i="9"/>
  <c r="AR42" i="9"/>
  <c r="AR184" i="9"/>
  <c r="AS102" i="9"/>
  <c r="AS7" i="9"/>
  <c r="AS184" i="9"/>
  <c r="AT6" i="9"/>
  <c r="AS42" i="9"/>
  <c r="AU6" i="9"/>
  <c r="AT42" i="9"/>
  <c r="AT7" i="9"/>
  <c r="AT102" i="9"/>
  <c r="AT184" i="9"/>
  <c r="AU42" i="9"/>
  <c r="AU7" i="9"/>
  <c r="AU102" i="9"/>
  <c r="AV6" i="9"/>
  <c r="AU184" i="9"/>
  <c r="AV184" i="9"/>
  <c r="AV7" i="9"/>
  <c r="AV102" i="9"/>
  <c r="AV42" i="9"/>
  <c r="AW6" i="9"/>
  <c r="AW102" i="9"/>
  <c r="AX6" i="9"/>
  <c r="AW7" i="9"/>
  <c r="AW184" i="9"/>
  <c r="AW42" i="9"/>
  <c r="AX42" i="9"/>
  <c r="AY6" i="9"/>
  <c r="AX102" i="9"/>
  <c r="AX184" i="9"/>
  <c r="AX7" i="9"/>
  <c r="AY184" i="9"/>
  <c r="AY102" i="9"/>
  <c r="AY7" i="9"/>
  <c r="AY42" i="9"/>
  <c r="AZ6" i="9"/>
  <c r="AZ7" i="9"/>
  <c r="AZ184" i="9"/>
  <c r="AZ102" i="9"/>
  <c r="AZ42" i="9"/>
  <c r="BA6" i="9"/>
  <c r="BB6" i="9"/>
  <c r="BA102" i="9"/>
  <c r="BA42" i="9"/>
  <c r="BA7" i="9"/>
  <c r="BA184" i="9"/>
  <c r="BB42" i="9"/>
  <c r="BC6" i="9"/>
  <c r="BB102" i="9"/>
  <c r="BB184" i="9"/>
  <c r="BB7" i="9"/>
  <c r="BC184" i="9"/>
  <c r="BC42" i="9"/>
  <c r="BD6" i="9"/>
  <c r="BC102" i="9"/>
  <c r="BC7" i="9"/>
  <c r="BE6" i="9"/>
  <c r="BD7" i="9"/>
  <c r="BD184" i="9"/>
  <c r="BD42" i="9"/>
  <c r="BD102" i="9"/>
  <c r="BE7" i="9"/>
  <c r="BE184" i="9"/>
  <c r="BE102" i="9"/>
  <c r="BF6" i="9"/>
  <c r="BE42" i="9"/>
  <c r="BF102" i="9"/>
  <c r="BF184" i="9"/>
  <c r="BF42" i="9"/>
  <c r="BF7" i="9"/>
  <c r="BG6" i="9"/>
  <c r="BG184" i="9"/>
  <c r="BG7" i="9"/>
  <c r="BH6" i="9"/>
  <c r="BG102" i="9"/>
  <c r="BG42" i="9"/>
  <c r="BI6" i="9"/>
  <c r="BH102" i="9"/>
  <c r="BH184" i="9"/>
  <c r="BH42" i="9"/>
  <c r="BH7" i="9"/>
  <c r="BI184" i="9"/>
  <c r="BI42" i="9"/>
  <c r="BI102" i="9"/>
  <c r="BI7" i="9"/>
  <c r="BJ6" i="9"/>
  <c r="BJ102" i="9"/>
  <c r="BJ7" i="9"/>
  <c r="BK6" i="9"/>
  <c r="BL6" i="9" s="1"/>
  <c r="BJ42" i="9"/>
  <c r="BJ184" i="9"/>
  <c r="BK102" i="9"/>
  <c r="BK7" i="9"/>
  <c r="BK42" i="9"/>
  <c r="BK184" i="9"/>
  <c r="I51" i="53"/>
  <c r="I57" i="53" s="1"/>
  <c r="AF5" i="10"/>
  <c r="AY5" i="10"/>
  <c r="BG5" i="10"/>
  <c r="K5" i="10"/>
  <c r="Z5" i="10"/>
  <c r="AL5" i="10"/>
  <c r="BC5" i="10"/>
  <c r="E5" i="10"/>
  <c r="AD5" i="10"/>
  <c r="BA5" i="10"/>
  <c r="AN5" i="10"/>
  <c r="M5" i="10"/>
  <c r="Q5" i="10"/>
  <c r="BK5" i="10"/>
  <c r="AK5" i="10"/>
  <c r="AV5" i="10"/>
  <c r="W5" i="10"/>
  <c r="O5" i="10"/>
  <c r="AR5" i="10"/>
  <c r="BJ5" i="10"/>
  <c r="AZ5" i="10"/>
  <c r="P5" i="10"/>
  <c r="X5" i="10"/>
  <c r="AB5" i="10"/>
  <c r="BI5" i="10"/>
  <c r="BD5" i="10"/>
  <c r="U5" i="10"/>
  <c r="Y5" i="10"/>
  <c r="L5" i="10"/>
  <c r="J5" i="10"/>
  <c r="AJ5" i="10"/>
  <c r="AU5" i="10"/>
  <c r="N5" i="10"/>
  <c r="AG5" i="10"/>
  <c r="I5" i="10"/>
  <c r="AT5" i="10"/>
  <c r="V5" i="10"/>
  <c r="G5" i="10"/>
  <c r="AE5" i="10"/>
  <c r="BB5" i="10"/>
  <c r="AO5" i="10"/>
  <c r="AX5" i="10"/>
  <c r="T5" i="10"/>
  <c r="AM5" i="10"/>
  <c r="BE5" i="10"/>
  <c r="AS5" i="10"/>
  <c r="R5" i="10"/>
  <c r="AA5" i="10"/>
  <c r="AQ5" i="10"/>
  <c r="BF5" i="10"/>
  <c r="AW5" i="10"/>
  <c r="BH5" i="10"/>
  <c r="F5" i="10"/>
  <c r="AC5" i="10"/>
  <c r="H5" i="10"/>
  <c r="AP5" i="10"/>
  <c r="AH5" i="10"/>
  <c r="S5" i="10"/>
  <c r="AI5" i="10"/>
  <c r="BL220" i="9"/>
  <c r="BT64" i="9"/>
  <c r="BT65" i="9"/>
  <c r="BQ65" i="9"/>
  <c r="BQ104" i="9"/>
  <c r="BQ105" i="9"/>
  <c r="BQ113" i="9"/>
  <c r="BO243" i="9"/>
  <c r="BO244" i="9"/>
  <c r="BN217" i="9"/>
  <c r="BN219" i="9"/>
  <c r="BL102" i="9"/>
  <c r="BL243" i="9"/>
  <c r="BQ243" i="9"/>
  <c r="BQ199" i="9"/>
  <c r="BQ244" i="9" s="1"/>
  <c r="BQ204" i="9"/>
  <c r="BQ209" i="9"/>
  <c r="BL251" i="9"/>
  <c r="BQ251" i="9"/>
  <c r="BQ201" i="9"/>
  <c r="BQ252" i="9"/>
  <c r="BL42" i="9"/>
  <c r="BL184" i="9"/>
  <c r="BL244" i="9"/>
  <c r="BL252" i="9"/>
  <c r="BL67" i="9"/>
  <c r="BL104" i="9"/>
  <c r="BL105" i="9" s="1"/>
  <c r="BL113" i="9" s="1"/>
  <c r="BL239" i="9"/>
  <c r="BQ239" i="9"/>
  <c r="BQ188" i="9" s="1"/>
  <c r="BQ240" i="9" s="1"/>
  <c r="BL247" i="9"/>
  <c r="BQ247" i="9"/>
  <c r="BQ200" i="9"/>
  <c r="BQ248" i="9"/>
  <c r="BL240" i="9"/>
  <c r="K51" i="53"/>
  <c r="K57" i="53" s="1"/>
  <c r="A15" i="9"/>
  <c r="A16" i="9"/>
  <c r="J51" i="53"/>
  <c r="J57" i="53" s="1"/>
  <c r="BQ115" i="9"/>
  <c r="BQ114" i="9"/>
  <c r="BQ122" i="9"/>
  <c r="BQ14" i="9"/>
  <c r="BL122" i="9"/>
  <c r="BL128" i="9"/>
  <c r="BL114" i="9"/>
  <c r="BL14" i="9"/>
  <c r="BL115" i="9"/>
  <c r="BT248" i="9"/>
  <c r="BT243" i="9"/>
  <c r="BT67" i="9"/>
  <c r="BL68" i="9"/>
  <c r="BL80" i="9"/>
  <c r="BL11" i="9"/>
  <c r="BL12" i="9"/>
  <c r="A17" i="9"/>
  <c r="A18" i="9"/>
  <c r="I53" i="53"/>
  <c r="J53" i="53"/>
  <c r="K53" i="53"/>
  <c r="BL32" i="9"/>
  <c r="BL16" i="9"/>
  <c r="BL33" i="9"/>
  <c r="BL15" i="9"/>
  <c r="BL81" i="9"/>
  <c r="BL90" i="9"/>
  <c r="BT11" i="9"/>
  <c r="BT12" i="9"/>
  <c r="BQ16" i="9"/>
  <c r="BQ22" i="9"/>
  <c r="BQ23" i="9"/>
  <c r="BQ15" i="9"/>
  <c r="I58" i="53"/>
  <c r="A19" i="9"/>
  <c r="J58" i="53"/>
  <c r="K58" i="53"/>
  <c r="BL255" i="9"/>
  <c r="BQ255" i="9"/>
  <c r="BQ91" i="9"/>
  <c r="BL92" i="9"/>
  <c r="BL94" i="9"/>
  <c r="BL97" i="9"/>
  <c r="J62" i="53"/>
  <c r="I62" i="53"/>
  <c r="K62" i="53"/>
  <c r="A20" i="9"/>
  <c r="BS213" i="9"/>
  <c r="BT213" i="9"/>
  <c r="BQ124" i="9"/>
  <c r="BQ126" i="9"/>
  <c r="BQ92" i="9"/>
  <c r="BQ94" i="9"/>
  <c r="BQ97" i="9"/>
  <c r="A21" i="9"/>
  <c r="K59" i="53"/>
  <c r="J59" i="53"/>
  <c r="J72" i="53" s="1"/>
  <c r="I59" i="53"/>
  <c r="BQ21" i="9"/>
  <c r="BQ128" i="9"/>
  <c r="A22" i="9"/>
  <c r="A23" i="9"/>
  <c r="A24" i="9"/>
  <c r="A25" i="9"/>
  <c r="A26" i="9"/>
  <c r="A27" i="9"/>
  <c r="A28" i="9"/>
  <c r="K60" i="53"/>
  <c r="I60" i="53"/>
  <c r="J60" i="53"/>
  <c r="BQ177" i="9"/>
  <c r="BQ27" i="9" s="1"/>
  <c r="BQ26" i="9"/>
  <c r="A29" i="9"/>
  <c r="A30" i="9"/>
  <c r="A31" i="9"/>
  <c r="A32" i="9"/>
  <c r="A33" i="9"/>
  <c r="A34" i="9"/>
  <c r="A35" i="9"/>
  <c r="A36" i="9"/>
  <c r="A37" i="9"/>
  <c r="A38" i="9"/>
  <c r="A39" i="9"/>
  <c r="A40" i="9"/>
  <c r="A41" i="9"/>
  <c r="A42" i="9"/>
  <c r="A43" i="9"/>
  <c r="A44" i="9"/>
  <c r="A45" i="9"/>
  <c r="J31" i="53"/>
  <c r="I31" i="53"/>
  <c r="K31" i="53"/>
  <c r="J32" i="53"/>
  <c r="A46" i="9"/>
  <c r="A47" i="9"/>
  <c r="I32" i="53"/>
  <c r="K32" i="53"/>
  <c r="J33" i="53"/>
  <c r="I33" i="53"/>
  <c r="A48" i="9"/>
  <c r="K33" i="53"/>
  <c r="A49" i="9"/>
  <c r="A50" i="9"/>
  <c r="K34" i="53"/>
  <c r="J34" i="53"/>
  <c r="I34" i="53"/>
  <c r="J35" i="53"/>
  <c r="A51" i="9"/>
  <c r="I35" i="53"/>
  <c r="K35" i="53"/>
  <c r="I36" i="53"/>
  <c r="J36" i="53"/>
  <c r="A52" i="9"/>
  <c r="A53" i="9"/>
  <c r="K36" i="53"/>
  <c r="A54" i="9"/>
  <c r="I38" i="53"/>
  <c r="A55" i="9"/>
  <c r="A56" i="9"/>
  <c r="J38" i="53"/>
  <c r="K38" i="53"/>
  <c r="A57" i="9"/>
  <c r="K39" i="53"/>
  <c r="I39" i="53"/>
  <c r="J39" i="53"/>
  <c r="I40" i="53"/>
  <c r="A58" i="9"/>
  <c r="A59" i="9"/>
  <c r="K40" i="53"/>
  <c r="J40" i="53"/>
  <c r="A60" i="9"/>
  <c r="I42" i="53"/>
  <c r="I52" i="53" s="1"/>
  <c r="J42" i="53"/>
  <c r="J49" i="53" s="1"/>
  <c r="K42" i="53"/>
  <c r="A61" i="9"/>
  <c r="A62" i="9"/>
  <c r="A63" i="9"/>
  <c r="A64" i="9"/>
  <c r="I43" i="53"/>
  <c r="J43" i="53"/>
  <c r="K43" i="53"/>
  <c r="A65" i="9"/>
  <c r="A66" i="9"/>
  <c r="A67" i="9"/>
  <c r="A68" i="9"/>
  <c r="A69" i="9"/>
  <c r="A70" i="9"/>
  <c r="K45" i="53"/>
  <c r="K46" i="53" s="1"/>
  <c r="J45" i="53"/>
  <c r="I45" i="53"/>
  <c r="K48" i="53"/>
  <c r="K49" i="53" s="1"/>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s="1"/>
  <c r="A137" i="9" s="1"/>
  <c r="A138" i="9" s="1"/>
  <c r="A139" i="9"/>
  <c r="A140" i="9" s="1"/>
  <c r="A141" i="9"/>
  <c r="A142" i="9" s="1"/>
  <c r="A143" i="9" s="1"/>
  <c r="A144" i="9" s="1"/>
  <c r="A145" i="9" s="1"/>
  <c r="A146" i="9" s="1"/>
  <c r="A147" i="9" s="1"/>
  <c r="A148" i="9" s="1"/>
  <c r="A149" i="9" s="1"/>
  <c r="A150" i="9" s="1"/>
  <c r="A151" i="9" s="1"/>
  <c r="A152" i="9" s="1"/>
  <c r="A153" i="9" s="1"/>
  <c r="A154" i="9" s="1"/>
  <c r="I48" i="53"/>
  <c r="J48" i="53"/>
  <c r="M4" i="53"/>
  <c r="M5" i="53"/>
  <c r="BR5" i="10"/>
  <c r="BN5" i="10"/>
  <c r="BL5" i="10"/>
  <c r="BT5" i="10"/>
  <c r="BS5" i="10"/>
  <c r="M3" i="53"/>
  <c r="H11" i="53" s="1"/>
  <c r="BM5" i="10"/>
  <c r="BP5" i="10"/>
  <c r="BO5" i="10"/>
  <c r="BQ5" i="10"/>
  <c r="G28" i="53"/>
  <c r="K72" i="53"/>
  <c r="BT68" i="9"/>
  <c r="BT80" i="9"/>
  <c r="J71" i="53"/>
  <c r="BT104" i="9"/>
  <c r="BT239" i="9"/>
  <c r="BT240" i="9"/>
  <c r="BT252" i="9"/>
  <c r="BT251" i="9"/>
  <c r="BT247" i="9"/>
  <c r="BT244" i="9"/>
  <c r="BT105" i="9"/>
  <c r="BT113" i="9"/>
  <c r="BO67" i="9"/>
  <c r="BO104" i="9"/>
  <c r="BO105" i="9"/>
  <c r="BO113" i="9"/>
  <c r="BO248" i="9"/>
  <c r="BO240" i="9"/>
  <c r="BO239" i="9"/>
  <c r="BO247" i="9"/>
  <c r="BO252" i="9"/>
  <c r="BR14" i="9"/>
  <c r="BR122" i="9"/>
  <c r="BM243" i="9"/>
  <c r="BR243" i="9"/>
  <c r="BR199" i="9"/>
  <c r="BM251" i="9"/>
  <c r="BR251" i="9"/>
  <c r="BR201" i="9"/>
  <c r="BR252" i="9"/>
  <c r="BM244" i="9"/>
  <c r="BM252" i="9"/>
  <c r="BM67" i="9"/>
  <c r="BM104" i="9"/>
  <c r="BM105" i="9" s="1"/>
  <c r="BM113" i="9" s="1"/>
  <c r="BM239" i="9"/>
  <c r="BR239" i="9"/>
  <c r="BR188" i="9"/>
  <c r="BR240" i="9"/>
  <c r="BM247" i="9"/>
  <c r="BR247" i="9"/>
  <c r="BR200" i="9"/>
  <c r="BR248" i="9"/>
  <c r="BM240" i="9"/>
  <c r="H28" i="53"/>
  <c r="H30" i="53"/>
  <c r="G30" i="53"/>
  <c r="BM122" i="9"/>
  <c r="BM128" i="9"/>
  <c r="BM147" i="9"/>
  <c r="BM114" i="9"/>
  <c r="BM14" i="9"/>
  <c r="BM115" i="9"/>
  <c r="BO14" i="9"/>
  <c r="BO115" i="9"/>
  <c r="BO114" i="9"/>
  <c r="BO122" i="9"/>
  <c r="BO128" i="9"/>
  <c r="BR115" i="9"/>
  <c r="BO80" i="9"/>
  <c r="BO68" i="9"/>
  <c r="BO11" i="9"/>
  <c r="BO12" i="9"/>
  <c r="BT81" i="9"/>
  <c r="BT90" i="9"/>
  <c r="BM68" i="9"/>
  <c r="BM80" i="9"/>
  <c r="BM11" i="9"/>
  <c r="BM12" i="9"/>
  <c r="BT122" i="9"/>
  <c r="BT128" i="9"/>
  <c r="BT115" i="9"/>
  <c r="BT114" i="9"/>
  <c r="BT14" i="9"/>
  <c r="BR244" i="9"/>
  <c r="BR204" i="9"/>
  <c r="BR209" i="9"/>
  <c r="BR15" i="9"/>
  <c r="BR32" i="9"/>
  <c r="BR33" i="9"/>
  <c r="BR22" i="9"/>
  <c r="BR23" i="9" s="1"/>
  <c r="BS33" i="9"/>
  <c r="BR16" i="9"/>
  <c r="BS32" i="9"/>
  <c r="BO22" i="9"/>
  <c r="BO23" i="9"/>
  <c r="BO32" i="9"/>
  <c r="BO33" i="9"/>
  <c r="BO16" i="9"/>
  <c r="BO15" i="9"/>
  <c r="BM32" i="9"/>
  <c r="BQ33" i="9"/>
  <c r="BN33" i="9"/>
  <c r="BM16" i="9"/>
  <c r="BM33" i="9"/>
  <c r="BM15" i="9"/>
  <c r="BP32" i="9"/>
  <c r="BP33" i="9"/>
  <c r="BN32" i="9"/>
  <c r="BQ32" i="9"/>
  <c r="BT33" i="9"/>
  <c r="BT16" i="9"/>
  <c r="BT15" i="9"/>
  <c r="BT22" i="9"/>
  <c r="BT23" i="9" s="1"/>
  <c r="BT32" i="9"/>
  <c r="BT92" i="9"/>
  <c r="BT94" i="9"/>
  <c r="BT97" i="9"/>
  <c r="BT255" i="9"/>
  <c r="BO81" i="9"/>
  <c r="BO90" i="9"/>
  <c r="BM177" i="9"/>
  <c r="BM26" i="9"/>
  <c r="BM81" i="9"/>
  <c r="BM90" i="9"/>
  <c r="BM255" i="9"/>
  <c r="BR255" i="9"/>
  <c r="BR91" i="9"/>
  <c r="BM92" i="9"/>
  <c r="BM94" i="9"/>
  <c r="BM97" i="9"/>
  <c r="BO255" i="9"/>
  <c r="BO92" i="9"/>
  <c r="BO94" i="9"/>
  <c r="BO97" i="9"/>
  <c r="BO215" i="9"/>
  <c r="BR124" i="9"/>
  <c r="BR126" i="9"/>
  <c r="BR92" i="9"/>
  <c r="BR94" i="9"/>
  <c r="BR97" i="9"/>
  <c r="BT215" i="9"/>
  <c r="BT217" i="9"/>
  <c r="BT219" i="9"/>
  <c r="BP215" i="9"/>
  <c r="BO217" i="9"/>
  <c r="BO219" i="9"/>
  <c r="BR21" i="9"/>
  <c r="BR128" i="9"/>
  <c r="BQ215" i="9"/>
  <c r="BP217" i="9"/>
  <c r="BP219" i="9"/>
  <c r="BR215" i="9"/>
  <c r="BQ217" i="9"/>
  <c r="BQ219" i="9"/>
  <c r="BS215" i="9"/>
  <c r="BS217" i="9"/>
  <c r="BS219" i="9"/>
  <c r="BR217" i="9"/>
  <c r="BR219" i="9"/>
  <c r="V26" i="9" l="1"/>
  <c r="V177" i="9"/>
  <c r="V27" i="9" s="1"/>
  <c r="Y177" i="9"/>
  <c r="Y27" i="9" s="1"/>
  <c r="Y26" i="9"/>
  <c r="K177" i="9"/>
  <c r="K27" i="9" s="1"/>
  <c r="K26" i="9"/>
  <c r="AK177" i="9"/>
  <c r="AK27" i="9" s="1"/>
  <c r="AK26" i="9"/>
  <c r="L177" i="9"/>
  <c r="L26" i="9"/>
  <c r="AD26" i="9"/>
  <c r="AD177" i="9"/>
  <c r="BJ177" i="9"/>
  <c r="BJ27" i="9" s="1"/>
  <c r="BJ26" i="9"/>
  <c r="BC177" i="9"/>
  <c r="BC26" i="9"/>
  <c r="BP177" i="9"/>
  <c r="BP27" i="9" s="1"/>
  <c r="BP26" i="9"/>
  <c r="BR177" i="9"/>
  <c r="BR27" i="9" s="1"/>
  <c r="BR26" i="9"/>
  <c r="AS177" i="9"/>
  <c r="AS26" i="9"/>
  <c r="AC26" i="9"/>
  <c r="AC177" i="9"/>
  <c r="AW145" i="9"/>
  <c r="AW147" i="9" s="1"/>
  <c r="I72" i="53"/>
  <c r="I49" i="53"/>
  <c r="X145" i="9"/>
  <c r="X147" i="9" s="1"/>
  <c r="X26" i="9" s="1"/>
  <c r="I46" i="53"/>
  <c r="H10" i="53"/>
  <c r="J46" i="53"/>
  <c r="I177" i="9"/>
  <c r="I27" i="9" s="1"/>
  <c r="AG145" i="9"/>
  <c r="AG147" i="9" s="1"/>
  <c r="BG145" i="9"/>
  <c r="BG147" i="9" s="1"/>
  <c r="BG177" i="9" s="1"/>
  <c r="U177" i="9"/>
  <c r="U27" i="9" s="1"/>
  <c r="BL145" i="9"/>
  <c r="BL147" i="9" s="1"/>
  <c r="I71" i="53"/>
  <c r="K52" i="53"/>
  <c r="K71" i="53"/>
  <c r="I64" i="53"/>
  <c r="A155" i="9"/>
  <c r="A156" i="9" s="1"/>
  <c r="A157" i="9" s="1"/>
  <c r="A158" i="9" s="1"/>
  <c r="A159" i="9" s="1"/>
  <c r="A160" i="9" s="1"/>
  <c r="A161" i="9" s="1"/>
  <c r="A162" i="9" s="1"/>
  <c r="A163" i="9" s="1"/>
  <c r="AO177" i="9"/>
  <c r="AO26" i="9"/>
  <c r="W177" i="9"/>
  <c r="W26" i="9"/>
  <c r="Z26" i="9"/>
  <c r="Z177" i="9"/>
  <c r="F26" i="9"/>
  <c r="F177" i="9"/>
  <c r="Q26" i="9"/>
  <c r="Q177" i="9"/>
  <c r="H26" i="9"/>
  <c r="H177" i="9"/>
  <c r="AJ177" i="9"/>
  <c r="AJ26" i="9"/>
  <c r="AW26" i="9"/>
  <c r="AW177" i="9"/>
  <c r="AI177" i="9"/>
  <c r="AI26" i="9"/>
  <c r="AP26" i="9"/>
  <c r="AP177" i="9"/>
  <c r="AP27" i="9" s="1"/>
  <c r="BS177" i="9"/>
  <c r="BS26" i="9"/>
  <c r="S26" i="9"/>
  <c r="S177" i="9"/>
  <c r="S27" i="9" s="1"/>
  <c r="AE177" i="9"/>
  <c r="AE26" i="9"/>
  <c r="E26" i="9"/>
  <c r="E177" i="9"/>
  <c r="E27" i="9" s="1"/>
  <c r="G27" i="9"/>
  <c r="AS27" i="9"/>
  <c r="BD26" i="9"/>
  <c r="BD177" i="9"/>
  <c r="BO26" i="9"/>
  <c r="AZ26" i="9"/>
  <c r="AZ177" i="9"/>
  <c r="AZ27" i="9" s="1"/>
  <c r="AH26" i="9"/>
  <c r="AH177" i="9"/>
  <c r="AR177" i="9"/>
  <c r="AR26" i="9"/>
  <c r="BA26" i="9"/>
  <c r="BA177" i="9"/>
  <c r="BC27" i="9"/>
  <c r="BF177" i="9"/>
  <c r="BF26" i="9"/>
  <c r="J27" i="9"/>
  <c r="AN27" i="9"/>
  <c r="AG177" i="9"/>
  <c r="AG26" i="9"/>
  <c r="BT177" i="9"/>
  <c r="BT27" i="9" s="1"/>
  <c r="BI26" i="9"/>
  <c r="BI177" i="9"/>
  <c r="BL177" i="9"/>
  <c r="BL26" i="9"/>
  <c r="BM27" i="9"/>
  <c r="BK27" i="9"/>
  <c r="AT177" i="9"/>
  <c r="AT26" i="9"/>
  <c r="AL26" i="9"/>
  <c r="AL177" i="9"/>
  <c r="BN26" i="9"/>
  <c r="BN177" i="9"/>
  <c r="M24" i="53"/>
  <c r="J52" i="53"/>
  <c r="L27" i="9"/>
  <c r="AA145" i="9"/>
  <c r="AA147" i="9" s="1"/>
  <c r="AN26" i="9"/>
  <c r="AY145" i="9"/>
  <c r="AY147" i="9" s="1"/>
  <c r="BG19" i="9"/>
  <c r="BG22" i="9" s="1"/>
  <c r="BG23" i="9" s="1"/>
  <c r="J26" i="9"/>
  <c r="AD27" i="9"/>
  <c r="BK26" i="9"/>
  <c r="BH145" i="9"/>
  <c r="BH147" i="9" s="1"/>
  <c r="AB145" i="9"/>
  <c r="AB147" i="9" s="1"/>
  <c r="AX145" i="9"/>
  <c r="AX147" i="9" s="1"/>
  <c r="AU177" i="9"/>
  <c r="AU27" i="9" s="1"/>
  <c r="O145" i="9"/>
  <c r="O147" i="9" s="1"/>
  <c r="AQ177" i="9"/>
  <c r="P177" i="9"/>
  <c r="BS19" i="9"/>
  <c r="BS22" i="9" s="1"/>
  <c r="BS23" i="9" s="1"/>
  <c r="F19" i="9"/>
  <c r="F22" i="9" s="1"/>
  <c r="F23" i="9" s="1"/>
  <c r="AC27" i="9"/>
  <c r="AM177" i="9"/>
  <c r="AF145" i="9"/>
  <c r="AF147" i="9" s="1"/>
  <c r="BB145" i="9"/>
  <c r="BB147" i="9" s="1"/>
  <c r="AV145" i="9"/>
  <c r="AV147" i="9" s="1"/>
  <c r="BM19" i="9"/>
  <c r="BM22" i="9" s="1"/>
  <c r="BM23" i="9" s="1"/>
  <c r="K64" i="53"/>
  <c r="J64" i="53"/>
  <c r="BM6" i="9"/>
  <c r="BL7" i="9"/>
  <c r="BR187" i="9"/>
  <c r="BR236" i="9"/>
  <c r="R113" i="9"/>
  <c r="T113" i="9"/>
  <c r="X177" i="9" l="1"/>
  <c r="BG26" i="9"/>
  <c r="BD27" i="9"/>
  <c r="O177" i="9"/>
  <c r="O26" i="9"/>
  <c r="BS27" i="9"/>
  <c r="AO27" i="9"/>
  <c r="AW27" i="9"/>
  <c r="AJ27" i="9"/>
  <c r="AL27" i="9"/>
  <c r="H27" i="9"/>
  <c r="BF27" i="9"/>
  <c r="Q27" i="9"/>
  <c r="Z27" i="9"/>
  <c r="BL27" i="9"/>
  <c r="BI27" i="9"/>
  <c r="AQ27" i="9"/>
  <c r="AV26" i="9"/>
  <c r="AV177" i="9"/>
  <c r="BB26" i="9"/>
  <c r="BB177" i="9"/>
  <c r="AX26" i="9"/>
  <c r="AX177" i="9"/>
  <c r="AA26" i="9"/>
  <c r="AA177" i="9"/>
  <c r="AA27" i="9" s="1"/>
  <c r="AT27" i="9"/>
  <c r="AR27" i="9"/>
  <c r="P27" i="9"/>
  <c r="AH27" i="9"/>
  <c r="AY26" i="9"/>
  <c r="AY177" i="9"/>
  <c r="AB26" i="9"/>
  <c r="AB177" i="9"/>
  <c r="BG27" i="9"/>
  <c r="X27" i="9"/>
  <c r="F27" i="9"/>
  <c r="F179" i="9"/>
  <c r="I61" i="53"/>
  <c r="I63" i="53" s="1"/>
  <c r="I67" i="53" s="1"/>
  <c r="K61" i="53"/>
  <c r="K63" i="53" s="1"/>
  <c r="K67" i="53" s="1"/>
  <c r="A164" i="9"/>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J61" i="53"/>
  <c r="J63" i="53" s="1"/>
  <c r="J67" i="53" s="1"/>
  <c r="AG27" i="9"/>
  <c r="AE27" i="9"/>
  <c r="BN27" i="9"/>
  <c r="W27" i="9"/>
  <c r="AF26" i="9"/>
  <c r="AF177" i="9"/>
  <c r="AF27" i="9" s="1"/>
  <c r="AM27" i="9"/>
  <c r="BH177" i="9"/>
  <c r="BH26" i="9"/>
  <c r="BA27" i="9"/>
  <c r="AI27" i="9"/>
  <c r="Y115" i="9"/>
  <c r="T14" i="9"/>
  <c r="T114" i="9"/>
  <c r="T122" i="9"/>
  <c r="T128" i="9" s="1"/>
  <c r="T147" i="9" s="1"/>
  <c r="T115" i="9"/>
  <c r="R114" i="9"/>
  <c r="R14" i="9"/>
  <c r="R122" i="9"/>
  <c r="R128" i="9" s="1"/>
  <c r="R147" i="9" s="1"/>
  <c r="W115" i="9"/>
  <c r="R115" i="9"/>
  <c r="BM7" i="9"/>
  <c r="BN6" i="9"/>
  <c r="BM102" i="9"/>
  <c r="BM42" i="9"/>
  <c r="BM184" i="9"/>
  <c r="AX27" i="9" l="1"/>
  <c r="O27" i="9"/>
  <c r="J78" i="53"/>
  <c r="I78" i="53"/>
  <c r="A230" i="9"/>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J77" i="53"/>
  <c r="J81" i="53" s="1"/>
  <c r="K78" i="53"/>
  <c r="K77" i="53"/>
  <c r="K81" i="53" s="1"/>
  <c r="I77" i="53"/>
  <c r="I81" i="53" s="1"/>
  <c r="F180" i="9"/>
  <c r="G178" i="9"/>
  <c r="G179" i="9" s="1"/>
  <c r="F28" i="9"/>
  <c r="BH27" i="9"/>
  <c r="AB27" i="9"/>
  <c r="AY27" i="9"/>
  <c r="BB27" i="9"/>
  <c r="AV27" i="9"/>
  <c r="BN42" i="9"/>
  <c r="BN184" i="9"/>
  <c r="BN7" i="9"/>
  <c r="BO6" i="9"/>
  <c r="BN102" i="9"/>
  <c r="R177" i="9"/>
  <c r="R26" i="9"/>
  <c r="W16" i="9"/>
  <c r="R22" i="9"/>
  <c r="R23" i="9" s="1"/>
  <c r="R15" i="9"/>
  <c r="R16" i="9"/>
  <c r="S32" i="9"/>
  <c r="R33" i="9"/>
  <c r="S33" i="9"/>
  <c r="R32" i="9"/>
  <c r="T177" i="9"/>
  <c r="T26" i="9"/>
  <c r="T15" i="9"/>
  <c r="W32" i="9"/>
  <c r="T22" i="9"/>
  <c r="T23" i="9" s="1"/>
  <c r="U33" i="9"/>
  <c r="U32" i="9"/>
  <c r="W33" i="9"/>
  <c r="Y16" i="9"/>
  <c r="T16" i="9"/>
  <c r="X33" i="9"/>
  <c r="X32" i="9"/>
  <c r="T33" i="9"/>
  <c r="T32" i="9"/>
  <c r="K82" i="53" l="1"/>
  <c r="I82" i="53"/>
  <c r="H178" i="9"/>
  <c r="H179" i="9" s="1"/>
  <c r="G28" i="9"/>
  <c r="G180" i="9"/>
  <c r="J82" i="53"/>
  <c r="T27" i="9"/>
  <c r="R27" i="9"/>
  <c r="BO184" i="9"/>
  <c r="BP6" i="9"/>
  <c r="BO102" i="9"/>
  <c r="BO7" i="9"/>
  <c r="BO42" i="9"/>
  <c r="H180" i="9" l="1"/>
  <c r="H28" i="9"/>
  <c r="I178" i="9"/>
  <c r="I179" i="9" s="1"/>
  <c r="BP7" i="9"/>
  <c r="BP102" i="9"/>
  <c r="BP184" i="9"/>
  <c r="BP42" i="9"/>
  <c r="BQ6" i="9"/>
  <c r="I28" i="9" l="1"/>
  <c r="J178" i="9"/>
  <c r="J179" i="9" s="1"/>
  <c r="I180" i="9"/>
  <c r="BQ42" i="9"/>
  <c r="BR6" i="9"/>
  <c r="BQ102" i="9"/>
  <c r="BQ7" i="9"/>
  <c r="BQ184" i="9"/>
  <c r="E77" i="53"/>
  <c r="F35" i="53"/>
  <c r="F38" i="53"/>
  <c r="F78" i="53"/>
  <c r="F40" i="53"/>
  <c r="F45" i="53"/>
  <c r="F77" i="53"/>
  <c r="F36" i="53"/>
  <c r="F39" i="53"/>
  <c r="E61" i="53"/>
  <c r="E45" i="53"/>
  <c r="E53" i="53"/>
  <c r="E59" i="53"/>
  <c r="E78" i="53"/>
  <c r="F58" i="53"/>
  <c r="D53" i="53"/>
  <c r="D40" i="53"/>
  <c r="D48" i="53"/>
  <c r="D78" i="53"/>
  <c r="D58" i="53"/>
  <c r="D59" i="53"/>
  <c r="D64" i="53" s="1"/>
  <c r="D39" i="53"/>
  <c r="D60" i="53"/>
  <c r="D31" i="53"/>
  <c r="D35" i="53"/>
  <c r="D36" i="53"/>
  <c r="D77" i="53"/>
  <c r="D51" i="53"/>
  <c r="D62" i="53"/>
  <c r="D32" i="53"/>
  <c r="D33" i="53"/>
  <c r="D34" i="53"/>
  <c r="D37" i="53"/>
  <c r="D38" i="53"/>
  <c r="D42" i="53"/>
  <c r="D43" i="53"/>
  <c r="D45" i="53"/>
  <c r="D46" i="53" s="1"/>
  <c r="D61" i="53"/>
  <c r="E64" i="53"/>
  <c r="F42" i="53"/>
  <c r="E38" i="53"/>
  <c r="F33" i="53"/>
  <c r="E32" i="53"/>
  <c r="E62" i="53"/>
  <c r="F61" i="53"/>
  <c r="E48" i="53"/>
  <c r="F48" i="53"/>
  <c r="E40" i="53"/>
  <c r="E35" i="53"/>
  <c r="E34" i="53"/>
  <c r="F60" i="53"/>
  <c r="F59" i="53"/>
  <c r="F64" i="53"/>
  <c r="E51" i="53"/>
  <c r="F62" i="53"/>
  <c r="E58" i="53"/>
  <c r="F53" i="53"/>
  <c r="F51" i="53"/>
  <c r="E60" i="53"/>
  <c r="F31" i="53"/>
  <c r="F32" i="53"/>
  <c r="E33" i="53"/>
  <c r="F34" i="53"/>
  <c r="E39" i="53"/>
  <c r="E43" i="53"/>
  <c r="F43" i="53"/>
  <c r="E36" i="53"/>
  <c r="E31" i="53"/>
  <c r="G32" i="53"/>
  <c r="G40" i="53"/>
  <c r="G61" i="53"/>
  <c r="G77" i="53"/>
  <c r="G31" i="53"/>
  <c r="G42" i="53"/>
  <c r="G39" i="53"/>
  <c r="G48" i="53"/>
  <c r="G33" i="53"/>
  <c r="G36" i="53"/>
  <c r="G38" i="53"/>
  <c r="G43" i="53"/>
  <c r="G35" i="53"/>
  <c r="G45" i="53"/>
  <c r="G60" i="53"/>
  <c r="G62" i="53"/>
  <c r="G78" i="53"/>
  <c r="G51" i="53"/>
  <c r="G58" i="53"/>
  <c r="G59" i="53"/>
  <c r="G64" i="53" s="1"/>
  <c r="G53" i="53"/>
  <c r="G34" i="53"/>
  <c r="H34" i="53"/>
  <c r="H32" i="53"/>
  <c r="H78" i="53"/>
  <c r="H61" i="53"/>
  <c r="H48" i="53"/>
  <c r="H77" i="53"/>
  <c r="H53" i="53"/>
  <c r="H39" i="53"/>
  <c r="H38" i="53"/>
  <c r="H42" i="53"/>
  <c r="H33" i="53"/>
  <c r="H35" i="53"/>
  <c r="H62" i="53"/>
  <c r="H43" i="53"/>
  <c r="H60" i="53"/>
  <c r="H51" i="53"/>
  <c r="H31" i="53"/>
  <c r="H58" i="53"/>
  <c r="H45" i="53"/>
  <c r="H59" i="53"/>
  <c r="H64" i="53"/>
  <c r="H36" i="53"/>
  <c r="H40" i="53"/>
  <c r="E42" i="53"/>
  <c r="H46" i="53" l="1"/>
  <c r="F49" i="53"/>
  <c r="G46" i="53"/>
  <c r="L42" i="53"/>
  <c r="G49" i="53"/>
  <c r="J28" i="9"/>
  <c r="K178" i="9"/>
  <c r="J180" i="9"/>
  <c r="H71" i="53"/>
  <c r="H52" i="53"/>
  <c r="H57" i="53"/>
  <c r="H63" i="53" s="1"/>
  <c r="H67" i="53" s="1"/>
  <c r="H72" i="53"/>
  <c r="L77" i="53"/>
  <c r="H49" i="53"/>
  <c r="L78" i="53"/>
  <c r="G52" i="53"/>
  <c r="G71" i="53"/>
  <c r="G72" i="53"/>
  <c r="G57" i="53"/>
  <c r="G63" i="53" s="1"/>
  <c r="G67" i="53" s="1"/>
  <c r="G82" i="53"/>
  <c r="L31" i="53"/>
  <c r="L39" i="53"/>
  <c r="L33" i="53"/>
  <c r="L60" i="53"/>
  <c r="F72" i="53"/>
  <c r="F57" i="53"/>
  <c r="F63" i="53" s="1"/>
  <c r="F67" i="53" s="1"/>
  <c r="F71" i="53"/>
  <c r="F52" i="53"/>
  <c r="L58" i="53"/>
  <c r="E52" i="53"/>
  <c r="E57" i="53"/>
  <c r="E81" i="53" s="1"/>
  <c r="E71" i="53"/>
  <c r="E72" i="53"/>
  <c r="L51" i="53"/>
  <c r="L35" i="53"/>
  <c r="E49" i="53"/>
  <c r="L48" i="53"/>
  <c r="L49" i="53" s="1"/>
  <c r="L62" i="53"/>
  <c r="L64" i="53"/>
  <c r="D57" i="53"/>
  <c r="D63" i="53" s="1"/>
  <c r="D67" i="53" s="1"/>
  <c r="D72" i="53"/>
  <c r="D71" i="53"/>
  <c r="D52" i="53"/>
  <c r="D81" i="53"/>
  <c r="D82" i="53"/>
  <c r="D49" i="53"/>
  <c r="L59" i="53"/>
  <c r="E46" i="53"/>
  <c r="L45" i="53"/>
  <c r="L46" i="53" s="1"/>
  <c r="L61" i="53"/>
  <c r="F46" i="53"/>
  <c r="BR7" i="9"/>
  <c r="BR42" i="9"/>
  <c r="BS6" i="9"/>
  <c r="BR102" i="9"/>
  <c r="BR184" i="9"/>
  <c r="F82" i="53" l="1"/>
  <c r="F81" i="53"/>
  <c r="G81" i="53"/>
  <c r="L178" i="9"/>
  <c r="L179" i="9" s="1"/>
  <c r="K179" i="9"/>
  <c r="H81" i="53"/>
  <c r="E82" i="53"/>
  <c r="H82" i="53"/>
  <c r="BS184" i="9"/>
  <c r="BT6" i="9"/>
  <c r="BS7" i="9"/>
  <c r="BS42" i="9"/>
  <c r="BS102" i="9"/>
  <c r="M23" i="53"/>
  <c r="L71" i="53"/>
  <c r="K7" i="53"/>
  <c r="L72" i="53"/>
  <c r="L52" i="53"/>
  <c r="E63" i="53"/>
  <c r="E67" i="53" s="1"/>
  <c r="L57" i="53"/>
  <c r="L63" i="53" s="1"/>
  <c r="L67" i="53" s="1"/>
  <c r="L81" i="53" l="1"/>
  <c r="K28" i="9"/>
  <c r="K180" i="9"/>
  <c r="L82" i="53"/>
  <c r="L180" i="9"/>
  <c r="M178" i="9"/>
  <c r="M179" i="9" s="1"/>
  <c r="L28" i="9"/>
  <c r="Q178" i="9"/>
  <c r="Q179" i="9" s="1"/>
  <c r="J13" i="53"/>
  <c r="K13" i="53"/>
  <c r="J16" i="53"/>
  <c r="J18" i="53"/>
  <c r="K16" i="53"/>
  <c r="BT184" i="9"/>
  <c r="BT7" i="9"/>
  <c r="BT102" i="9"/>
  <c r="BT42" i="9"/>
  <c r="R178" i="9" l="1"/>
  <c r="R179" i="9" s="1"/>
  <c r="Q28" i="9"/>
  <c r="Q180" i="9"/>
  <c r="V178" i="9"/>
  <c r="V179" i="9" s="1"/>
  <c r="M28" i="9"/>
  <c r="N178" i="9"/>
  <c r="N179" i="9" s="1"/>
  <c r="M180" i="9"/>
  <c r="M34" i="53"/>
  <c r="M62" i="53"/>
  <c r="M39" i="53"/>
  <c r="M32" i="53"/>
  <c r="M78" i="53"/>
  <c r="M38" i="53"/>
  <c r="M35" i="53"/>
  <c r="M51" i="53"/>
  <c r="M59" i="53"/>
  <c r="M64" i="53"/>
  <c r="M42" i="53"/>
  <c r="M61" i="53"/>
  <c r="M48" i="53"/>
  <c r="M49" i="53" s="1"/>
  <c r="M36" i="53"/>
  <c r="M40" i="53"/>
  <c r="M60" i="53"/>
  <c r="M53" i="53"/>
  <c r="M77" i="53"/>
  <c r="M31" i="53"/>
  <c r="M45" i="53"/>
  <c r="M58" i="53"/>
  <c r="M43" i="53"/>
  <c r="M33" i="53"/>
  <c r="V180" i="9" l="1"/>
  <c r="W178" i="9"/>
  <c r="W179" i="9" s="1"/>
  <c r="V28" i="9"/>
  <c r="AA178" i="9"/>
  <c r="AA179" i="9" s="1"/>
  <c r="N180" i="9"/>
  <c r="N28" i="9"/>
  <c r="O178" i="9"/>
  <c r="O179" i="9" s="1"/>
  <c r="M46" i="53"/>
  <c r="S178" i="9"/>
  <c r="S179" i="9" s="1"/>
  <c r="R28" i="9"/>
  <c r="R180" i="9"/>
  <c r="M7" i="53"/>
  <c r="M52" i="53"/>
  <c r="M71" i="53"/>
  <c r="M57" i="53"/>
  <c r="M72" i="53"/>
  <c r="M82" i="53"/>
  <c r="T178" i="9" l="1"/>
  <c r="T179" i="9" s="1"/>
  <c r="S180" i="9"/>
  <c r="S28" i="9"/>
  <c r="O28" i="9"/>
  <c r="O180" i="9"/>
  <c r="P178" i="9"/>
  <c r="P179" i="9" s="1"/>
  <c r="W28" i="9"/>
  <c r="X178" i="9"/>
  <c r="X179" i="9" s="1"/>
  <c r="W180" i="9"/>
  <c r="AB178" i="9"/>
  <c r="AB179" i="9" s="1"/>
  <c r="AF178" i="9"/>
  <c r="AF179" i="9" s="1"/>
  <c r="AA180" i="9"/>
  <c r="AA28" i="9"/>
  <c r="M63" i="53"/>
  <c r="M67" i="53" s="1"/>
  <c r="M81" i="53"/>
  <c r="M13" i="53"/>
  <c r="M16" i="53"/>
  <c r="L13" i="53"/>
  <c r="L18" i="53"/>
  <c r="L16" i="53"/>
  <c r="AB180" i="9" l="1"/>
  <c r="AB28" i="9"/>
  <c r="AC178" i="9"/>
  <c r="AC179" i="9" s="1"/>
  <c r="X180" i="9"/>
  <c r="X28" i="9"/>
  <c r="Y178" i="9"/>
  <c r="Y179" i="9" s="1"/>
  <c r="P180" i="9"/>
  <c r="P28" i="9"/>
  <c r="AK178" i="9"/>
  <c r="AK179" i="9" s="1"/>
  <c r="AG178" i="9"/>
  <c r="AG179" i="9" s="1"/>
  <c r="AF185" i="9"/>
  <c r="AF191" i="9" s="1"/>
  <c r="AF197" i="9" s="1"/>
  <c r="AF220" i="9" s="1"/>
  <c r="AF28" i="9"/>
  <c r="U178" i="9"/>
  <c r="U179" i="9" s="1"/>
  <c r="T180" i="9"/>
  <c r="T28" i="9"/>
  <c r="AK28" i="9" l="1"/>
  <c r="AP178" i="9"/>
  <c r="AP179" i="9" s="1"/>
  <c r="AK185" i="9"/>
  <c r="AK191" i="9" s="1"/>
  <c r="AK197" i="9" s="1"/>
  <c r="AK220" i="9" s="1"/>
  <c r="AL178" i="9"/>
  <c r="AL179" i="9" s="1"/>
  <c r="AH178" i="9"/>
  <c r="AH179" i="9" s="1"/>
  <c r="AG180" i="9"/>
  <c r="AG28" i="9"/>
  <c r="Z178" i="9"/>
  <c r="Z179" i="9" s="1"/>
  <c r="Y28" i="9"/>
  <c r="Y180" i="9"/>
  <c r="U28" i="9"/>
  <c r="U180" i="9"/>
  <c r="AD178" i="9"/>
  <c r="AD179" i="9" s="1"/>
  <c r="AC180" i="9"/>
  <c r="AC28" i="9"/>
  <c r="AF180" i="9"/>
  <c r="AI178" i="9" l="1"/>
  <c r="AI179" i="9" s="1"/>
  <c r="AH180" i="9"/>
  <c r="AH28" i="9"/>
  <c r="Z180" i="9"/>
  <c r="Z28" i="9"/>
  <c r="AL28" i="9"/>
  <c r="AL180" i="9"/>
  <c r="AM178" i="9"/>
  <c r="AM179" i="9" s="1"/>
  <c r="AD28" i="9"/>
  <c r="AE178" i="9"/>
  <c r="AE179" i="9" s="1"/>
  <c r="AD180" i="9"/>
  <c r="AP28" i="9"/>
  <c r="AP185" i="9"/>
  <c r="AP191" i="9" s="1"/>
  <c r="AP197" i="9" s="1"/>
  <c r="AP220" i="9" s="1"/>
  <c r="AQ178" i="9"/>
  <c r="AQ179" i="9" s="1"/>
  <c r="AU178" i="9"/>
  <c r="AU179" i="9" s="1"/>
  <c r="AP180" i="9"/>
  <c r="AK180" i="9"/>
  <c r="AE180" i="9" l="1"/>
  <c r="AE28" i="9"/>
  <c r="AU28" i="9"/>
  <c r="AU185" i="9"/>
  <c r="AU191" i="9" s="1"/>
  <c r="AU197" i="9" s="1"/>
  <c r="AU220" i="9" s="1"/>
  <c r="AV178" i="9"/>
  <c r="AV179" i="9" s="1"/>
  <c r="AZ178" i="9"/>
  <c r="AZ179" i="9" s="1"/>
  <c r="AU180" i="9"/>
  <c r="AN178" i="9"/>
  <c r="AN179" i="9" s="1"/>
  <c r="AM28" i="9"/>
  <c r="AM180" i="9"/>
  <c r="AQ28" i="9"/>
  <c r="AQ180" i="9"/>
  <c r="AR178" i="9"/>
  <c r="AR179" i="9" s="1"/>
  <c r="AJ178" i="9"/>
  <c r="AJ179" i="9" s="1"/>
  <c r="AI180" i="9"/>
  <c r="AI28" i="9"/>
  <c r="AN28" i="9" l="1"/>
  <c r="AO178" i="9"/>
  <c r="AO179" i="9" s="1"/>
  <c r="AN180" i="9"/>
  <c r="BE178" i="9"/>
  <c r="BE179" i="9" s="1"/>
  <c r="AZ185" i="9"/>
  <c r="AZ191" i="9" s="1"/>
  <c r="AZ197" i="9" s="1"/>
  <c r="AZ220" i="9" s="1"/>
  <c r="AZ28" i="9"/>
  <c r="I76" i="53" s="1"/>
  <c r="I79" i="53" s="1"/>
  <c r="I83" i="53" s="1"/>
  <c r="BA178" i="9"/>
  <c r="BA179" i="9" s="1"/>
  <c r="AV28" i="9"/>
  <c r="AV180" i="9"/>
  <c r="AW178" i="9"/>
  <c r="AW179" i="9" s="1"/>
  <c r="AJ28" i="9"/>
  <c r="AJ180" i="9"/>
  <c r="AR28" i="9"/>
  <c r="AR180" i="9"/>
  <c r="AS178" i="9"/>
  <c r="AS179" i="9" s="1"/>
  <c r="AZ180" i="9" l="1"/>
  <c r="BA180" i="9"/>
  <c r="BB178" i="9"/>
  <c r="BB179" i="9" s="1"/>
  <c r="BA28" i="9"/>
  <c r="AS180" i="9"/>
  <c r="AS28" i="9"/>
  <c r="AT178" i="9"/>
  <c r="AT179" i="9" s="1"/>
  <c r="BE28" i="9"/>
  <c r="J76" i="53" s="1"/>
  <c r="J79" i="53" s="1"/>
  <c r="J83" i="53" s="1"/>
  <c r="BJ178" i="9"/>
  <c r="BJ179" i="9" s="1"/>
  <c r="BE185" i="9"/>
  <c r="BE191" i="9" s="1"/>
  <c r="BE197" i="9" s="1"/>
  <c r="BE220" i="9" s="1"/>
  <c r="BF178" i="9"/>
  <c r="BF179" i="9" s="1"/>
  <c r="AO180" i="9"/>
  <c r="AO28" i="9"/>
  <c r="AW28" i="9"/>
  <c r="AW180" i="9"/>
  <c r="AX178" i="9"/>
  <c r="AX179" i="9" s="1"/>
  <c r="AT180" i="9" l="1"/>
  <c r="AT28" i="9"/>
  <c r="BF28" i="9"/>
  <c r="BG178" i="9"/>
  <c r="BG179" i="9" s="1"/>
  <c r="BF180" i="9"/>
  <c r="BK178" i="9"/>
  <c r="BK179" i="9" s="1"/>
  <c r="BJ28" i="9"/>
  <c r="K76" i="53" s="1"/>
  <c r="K79" i="53" s="1"/>
  <c r="K83" i="53" s="1"/>
  <c r="BJ185" i="9"/>
  <c r="BJ191" i="9" s="1"/>
  <c r="BJ197" i="9" s="1"/>
  <c r="BJ220" i="9" s="1"/>
  <c r="BO178" i="9"/>
  <c r="BO179" i="9" s="1"/>
  <c r="AX180" i="9"/>
  <c r="AX28" i="9"/>
  <c r="AY178" i="9"/>
  <c r="AY179" i="9" s="1"/>
  <c r="BB28" i="9"/>
  <c r="BC178" i="9"/>
  <c r="BC179" i="9" s="1"/>
  <c r="BB180" i="9"/>
  <c r="BE180" i="9"/>
  <c r="BJ180" i="9" l="1"/>
  <c r="BT178" i="9"/>
  <c r="BT179" i="9" s="1"/>
  <c r="BO28" i="9"/>
  <c r="M76" i="53" s="1"/>
  <c r="M79" i="53" s="1"/>
  <c r="BO185" i="9"/>
  <c r="BO191" i="9" s="1"/>
  <c r="BO197" i="9" s="1"/>
  <c r="BO220" i="9" s="1"/>
  <c r="BP178" i="9"/>
  <c r="BP179" i="9" s="1"/>
  <c r="BO180" i="9"/>
  <c r="BG28" i="9"/>
  <c r="BH178" i="9"/>
  <c r="BH179" i="9" s="1"/>
  <c r="BG180" i="9"/>
  <c r="BL178" i="9"/>
  <c r="BL179" i="9" s="1"/>
  <c r="BK180" i="9"/>
  <c r="BK28" i="9"/>
  <c r="F76" i="53" s="1"/>
  <c r="F79" i="53" s="1"/>
  <c r="F83" i="53" s="1"/>
  <c r="BC28" i="9"/>
  <c r="BD178" i="9"/>
  <c r="BD179" i="9" s="1"/>
  <c r="BC180" i="9"/>
  <c r="AY28" i="9"/>
  <c r="AY180" i="9"/>
  <c r="BP185" i="9" l="1"/>
  <c r="BP191" i="9" s="1"/>
  <c r="BP197" i="9" s="1"/>
  <c r="BP220" i="9" s="1"/>
  <c r="BP180" i="9"/>
  <c r="BP28" i="9"/>
  <c r="BQ178" i="9"/>
  <c r="BQ179" i="9" s="1"/>
  <c r="BI178" i="9"/>
  <c r="BI179" i="9" s="1"/>
  <c r="BH28" i="9"/>
  <c r="D76" i="53" s="1"/>
  <c r="D79" i="53" s="1"/>
  <c r="D83" i="53" s="1"/>
  <c r="BH180" i="9"/>
  <c r="M83" i="53"/>
  <c r="M25" i="53"/>
  <c r="BM178" i="9"/>
  <c r="BM179" i="9" s="1"/>
  <c r="BL180" i="9"/>
  <c r="BL28" i="9"/>
  <c r="G76" i="53" s="1"/>
  <c r="G79" i="53" s="1"/>
  <c r="G83" i="53" s="1"/>
  <c r="BD180" i="9"/>
  <c r="BD28" i="9"/>
  <c r="BT28" i="9"/>
  <c r="BT185" i="9"/>
  <c r="BT191" i="9" s="1"/>
  <c r="BT197" i="9" s="1"/>
  <c r="BT220" i="9" s="1"/>
  <c r="BT180" i="9"/>
  <c r="BM28" i="9" l="1"/>
  <c r="H76" i="53" s="1"/>
  <c r="BM180" i="9"/>
  <c r="BN178" i="9"/>
  <c r="BN179" i="9" s="1"/>
  <c r="BI28" i="9"/>
  <c r="E76" i="53" s="1"/>
  <c r="E79" i="53" s="1"/>
  <c r="E83" i="53" s="1"/>
  <c r="BI180" i="9"/>
  <c r="BR178" i="9"/>
  <c r="BR179" i="9" s="1"/>
  <c r="BQ28" i="9"/>
  <c r="BQ185" i="9"/>
  <c r="BQ180" i="9" l="1"/>
  <c r="BQ191" i="9"/>
  <c r="BQ197" i="9" s="1"/>
  <c r="BQ220" i="9" s="1"/>
  <c r="BS178" i="9"/>
  <c r="BS179" i="9" s="1"/>
  <c r="BR185" i="9"/>
  <c r="BR191" i="9" s="1"/>
  <c r="BR197" i="9" s="1"/>
  <c r="BR220" i="9" s="1"/>
  <c r="BR28" i="9"/>
  <c r="BR180" i="9"/>
  <c r="BN28" i="9"/>
  <c r="BN185" i="9"/>
  <c r="BN191" i="9" s="1"/>
  <c r="BN197" i="9" s="1"/>
  <c r="BN220" i="9" s="1"/>
  <c r="D22" i="53"/>
  <c r="H79" i="53"/>
  <c r="L76" i="53"/>
  <c r="D19" i="53" l="1"/>
  <c r="D26" i="53"/>
  <c r="BN180" i="9"/>
  <c r="BS185" i="9"/>
  <c r="BS191" i="9" s="1"/>
  <c r="BS197" i="9" s="1"/>
  <c r="BS220" i="9" s="1"/>
  <c r="BS28" i="9"/>
  <c r="L79" i="53"/>
  <c r="L83" i="53" s="1"/>
  <c r="H83" i="53"/>
  <c r="BS180" i="9" l="1"/>
  <c r="K25" i="53"/>
  <c r="J19" i="53"/>
  <c r="L19" i="53"/>
</calcChain>
</file>

<file path=xl/sharedStrings.xml><?xml version="1.0" encoding="utf-8"?>
<sst xmlns="http://schemas.openxmlformats.org/spreadsheetml/2006/main" count="679" uniqueCount="419">
  <si>
    <t>SUMMARY NOTES ON USING THE MODEL</t>
  </si>
  <si>
    <t>The goal of any good model is to develop a financial framework to understand the operations of a business, to create questions that otherwise wouldn’t have been apparent, and to ultimately develop a buy/sell opinion based on comparable companies and industries.  A model without a comparison set is a study of one, and its difficult to draw conclusions based on a study of one. In addition to creating a model to form an opinion, I have found the list of questions that Ryan developed a number of years ago at Pacholder to be very helpful in understanding the economic and operational value of a business.  Click on the link, print it out and keep it handy while you are filling in the data.  It will help you keep perspective on your goal.</t>
  </si>
  <si>
    <t>S:\Target Companies\Langdon Company Questions.xls</t>
  </si>
  <si>
    <t>The most recent 10-K is usually the best place to begin when starting a model because it has a description of the company's most recent operations, its business risks and its last three years of financial statements.  You can start at the beginning and read thru the filing, or go straight to the financial statements, populate the model and then return to read about the operations and risks.</t>
  </si>
  <si>
    <t>Now for the model….</t>
  </si>
  <si>
    <t>One note before we begin.  IF YOU CHANGE THIS TEMPLATE WITHOUT TALKING TO ONE OF US OR USE THE ORIGINAL INSTEAD OF SAVING A COPY, PACK YOUR DESK UP AND DON’T BOTHER SAYING GOODBYE.</t>
  </si>
  <si>
    <t>STEP 1</t>
  </si>
  <si>
    <t>Save as the template model to the company's folder on the S drive.</t>
  </si>
  <si>
    <t>STEP 2</t>
  </si>
  <si>
    <t>A.  Go to the SUMMARY tab and enter the company name at the top.  Don’t do anything else on this tab; we will come back to it later.</t>
  </si>
  <si>
    <t>STEP 3</t>
  </si>
  <si>
    <t>A.  Go to the MODEL tab</t>
  </si>
  <si>
    <t>B.  It is better to input the historical numbers and then go back and fill in the estimates once you understand the business.</t>
  </si>
  <si>
    <t>C.  At the top of the page is the business segment section.  This is usually in the notes or MD&amp;A section of a company's financials.  You can either input the numbers here, or if the company gives you more data like segment costs and capex, you can input them on the segment breakdown tab.  I would ignore this section and come back to it when you get to those sections in the financials.</t>
  </si>
  <si>
    <t>D.  Start at the INCOME STATEMENT section</t>
  </si>
  <si>
    <t xml:space="preserve">1.  All inputs in the model will be blue.  This is true for historical numbers and for the inputs that drive estimates.  Also, the lables on the left hand side of the model will be blue to let you know where you should be putting data in.  For example, total revenue and cost of goods are a blue font because that is something that you need to input.  Gross profit is not because it is a formula.  </t>
  </si>
  <si>
    <t>2.  REMEMBER, this section is supposed to mirror the financial statements.  Feel free to add and take away as need be.</t>
  </si>
  <si>
    <t>3.  Make sure when you are done with this section that net income on the model and net income in the financial statements match.</t>
  </si>
  <si>
    <t>E.  Next go to the CASH FLOW STATEMENT section</t>
  </si>
  <si>
    <t xml:space="preserve">1.  This section is a little harder because the goal is to have the change in cash be the same between the model and the financial statements.  However, instead of starting at net income, you will be starting with revenue.  This will make you ask questions about how cash is actually created at the company and hopefully will raise red flags (ex/ Worldcom) if they are not.  Always keep your eye out for how the company accounts for different things like revenue and costs and how cash actually flows thru the statements.  </t>
  </si>
  <si>
    <t>2.  The first section is trying to create an accurate EBITDA.  Most of this section should be formulas linking to the income statement section.  Usually the only input is depreciation and amortization.  However, be sure to add line items above EBITDA, so that all non-recurring, non-cash items are added back to create an accurate number.  Most of these one times will either be found above SG&amp;A on the income side of costs or will be in the operating cash flow section on the financial statements.  An example would be restructuring costs or severance costs that have been included in SG&amp;A.  Alot of times companies provide a calculation of EBITDA taking out these costs.  Just make sure you agree with all the add-backs.  Feel free to add lines underneath if it makes sense to create additional types of EBITDA, like Adjusted EBITDA or EBITDAR.</t>
  </si>
  <si>
    <t>3.  The Other Expenses (Income) line is where all items from the income statement that weren't added back to create ebitda should now be added back.  Everytime you create a new model, some of the formulas in here will change.  This line, along with Other Items Impacting Cash, will be the ones causing you the most problems.  All expenses are ADDED, and all revenues are SUBTRACTED because this line ties in as a negative in Pretax cash flow.</t>
  </si>
  <si>
    <t>4.  Changes in Working Capital is the summation of all the items found at the bottom of the cash flow from operations section.  Typical line items are change in accounts receivable, change in accounts payable, and change in accrued expenses.  Either add all the items together in one cell or use the drop down function on the left hand side to expand the hidden rows and do each line seperately.  In the beginning, it might be helpful to do each line seperately so that if you make a mistake, it is easier to find the problem.</t>
  </si>
  <si>
    <t>5.  Other Items Impacting Cash should be the summation of all other items in cash flow from operations that haven't been added back yet.  Once again, you can either put them in one cell or use the hidden lines below.</t>
  </si>
  <si>
    <t xml:space="preserve">6.  Make sure that cash flow from operations on the model matches the number on the financial statements before you move on.  </t>
  </si>
  <si>
    <t>7.  All rows below cash flow from continuing ops. should be a replica of the financial statements.  When all the lines are summed, change in cash on the model should equal the cash and cash equivalents row on the model and the change in cash in the financial statements.</t>
  </si>
  <si>
    <t>F.  Next open up the hidden rows between the cash flow statement and the balance sheet by clicking on the plus sign on the left hand margin of the model.</t>
  </si>
  <si>
    <t>1.  This section helps manage the change in the revolver based on debt and cash levels.  If cash goes below zero, the company will need to borrow cash.  If the company has excess cash, they will probably pay down bank debt.  Both these situations should be covered by this section.</t>
  </si>
  <si>
    <t>2.  The minimun cash assumption line is there to create a minimum amount of cash that the company is willing to hold when it considers how much of the revolver to pay down.  Take the size of the debt, revenues, and historical cash balance to estimate the appropriate number.</t>
  </si>
  <si>
    <t>G. Next go to the BALANCE SHEET SECTION</t>
  </si>
  <si>
    <t>1.  This should look identical to the company's balance sheet.  Fill in the data and make sure it balances at the bottom (row 203).  This will be easy for historical numbers, more difficult when trying to create estimates.  Row 203 will tell you if your estimates have tied in everything from all 3 sections of the financial statements.  If the balance isnt zero, then something isnt being factored into creating future assets and liabilities.</t>
  </si>
  <si>
    <t xml:space="preserve">H.  Lastly is the METRICS section.  </t>
  </si>
  <si>
    <t>1.  The bottom section is for metrics that can be used to drive estimates.  These metrics can be here or on the Segment Breakdown tab, whichever is more helpful.  If you change anything in the selected ratios section and your balance sheet doesn’t change on both the asset and liability side, then you need to recheck your formulas for errors.</t>
  </si>
  <si>
    <t>STEP 4</t>
  </si>
  <si>
    <t>Go to SEGMENT BREAKDOWN TAB</t>
  </si>
  <si>
    <t>1. If the company gives you the data, break up revenues and profitability by the operating units.  This helps show if there is a good company/bad company situation and will make driving estimates easier and more accurate.  An example would be a company that makes windows and siding and tells you information about both segments.</t>
  </si>
  <si>
    <t>2.  The model is originally designed to tie in this section with the Model tab.  Put in the names of the segments at the top and it will change the segment names on the model tab and each section below this one.</t>
  </si>
  <si>
    <t>STEP 5</t>
  </si>
  <si>
    <t>Go to the NOTES tab</t>
  </si>
  <si>
    <t>1.  As you are reading the financial statements, talking to analysts, talking to the company, be sure to record important data on this tab.  Include the date and the person.</t>
  </si>
  <si>
    <t>STEP 6</t>
  </si>
  <si>
    <t>Go to the DEBT DETAIL tab</t>
  </si>
  <si>
    <t>1.  Label the various debts  of the company and input the interest rates on the left hand side.  This will be used to build out the long term debt line and interest expense line in the model.  The revolver line will come from the revolver calculation on the model tab.</t>
  </si>
  <si>
    <t>2.  The reason there is a cash interest section and a GAAP interest section is that GAAP requires a quarterly average of interest paid as opposed to actual interest paid, which is once every six months.</t>
  </si>
  <si>
    <t>STEP 7</t>
  </si>
  <si>
    <t>Go to the MGMT tab</t>
  </si>
  <si>
    <t>Copy the description section of management in the 10-K so we have a reference to who mgmt is and who is on the board.</t>
  </si>
  <si>
    <t>STEP 8</t>
  </si>
  <si>
    <t>Go to the M&amp;A tab</t>
  </si>
  <si>
    <t>1.  Usually in the 10-K, the company will include acquisitions they have made and assets they have sold.  Sometimes they will also include basic information about those businesses and how much they paid/collected.  If not, look to sellside for that information.</t>
  </si>
  <si>
    <t>STEP 9</t>
  </si>
  <si>
    <t>Consider the GEOGRAPHIC, CUSTOMER, FACILITIES, PRODUCTS tabs</t>
  </si>
  <si>
    <t xml:space="preserve">1.  These tabs are for you to use if the company gives you the appropriate data.  Delete the tabs if they are not necessary.  </t>
  </si>
  <si>
    <t>STEP 10</t>
  </si>
  <si>
    <t>Go to SOP, DCF tabs</t>
  </si>
  <si>
    <t>1.  The Sum of Parts is used if they give you enough segment information to determine what each business unit is worth.  Or you can use this tab to triangulate value using several different metrics.</t>
  </si>
  <si>
    <t>2.  An example would be a wireless company; use a cash flow multiple, a revenue multiple, and a value per subscriber multiple to create an average valuation for the company.</t>
  </si>
  <si>
    <t>3.  The DCF tab is currently blank.  Both Frank and I have templates to use, anyone is welcome to use either one.</t>
  </si>
  <si>
    <t>STEP 11</t>
  </si>
  <si>
    <t>Go to the COVENANTS tab</t>
  </si>
  <si>
    <t>1.  The left side of the sheet is for bond covenants and the right side is for bank debt covenants</t>
  </si>
  <si>
    <t xml:space="preserve">2.  Be sure to read the entire bond prospectus or final and add important features when necessary.  Odd definitions should go below the debt issue being discussed.  </t>
  </si>
  <si>
    <t>3.  The same instructions go for bank debt indentures.</t>
  </si>
  <si>
    <t>STEP 12</t>
  </si>
  <si>
    <t>Go to the STRUCTURE tab</t>
  </si>
  <si>
    <t>1.  The template model includes a framework for the legal structure of a company.  Feel free to copy and paste one provided in a prospectus, but make sure it discribes where the debt is in the corporate structure and how much is outstanding.  Also make sure that unique equity ownerships are described in the structure.</t>
  </si>
  <si>
    <t>2.  The top right and left area contains two boxes which provide information on recapitalizations of the company.  This is more relevant if the company is an LBO  or has done recapitalizations to return capital to shareholders.</t>
  </si>
  <si>
    <t>STEP 13</t>
  </si>
  <si>
    <t>Return to the MODEL tab</t>
  </si>
  <si>
    <t>1.  After having done all the previous analysis, you should have a good handle on how the business works.  Use the information you have received from the industry, comparable companies, and what the company has provided you to make your best guess as to the future prospects of the company.</t>
  </si>
  <si>
    <t>2.  Use the blue font to denote which cells are used to drive estimates.  Don’t change the blue font on the left hand side.</t>
  </si>
  <si>
    <t>3.  Whether or not you use metrics to drive future results, or just simple percentage growths depends on how much information the company gives you and how the business model works.</t>
  </si>
  <si>
    <t>4.  Typical problems when creating estimates are working capital , interest expense (zero's and PIK's), capex, and the revolver calculation.</t>
  </si>
  <si>
    <t>5.  If the balance sheet doesn’t balance, something is wrong.</t>
  </si>
  <si>
    <t>6.  The rest you have to figure out as you are customizing the model to the company and industry.</t>
  </si>
  <si>
    <t>STEP 14</t>
  </si>
  <si>
    <t>Go to the SUMMARY tab</t>
  </si>
  <si>
    <t>1.  Once again, blue denotes inputs.  Input the description of the different debt issues in the main box at the top, categorizing by priority.</t>
  </si>
  <si>
    <t>2.  On the top right of the main box, there are 3 cells used for inputing ranges of EBITDA that in turn display leverage according to par and market levels of debt.</t>
  </si>
  <si>
    <t>a.  I usually put current EBITDA either in the middle or on left or right side depending on which way ebitda is heading and then 2 other reasonable ebitda's that the company can make over time.</t>
  </si>
  <si>
    <t xml:space="preserve">3.  The liquidity section has both model tab formulas and inputs.  This should tell you what the liquidity of the company looks like now and over time.  </t>
  </si>
  <si>
    <t>4.  The only piece on the EV calc you need to do anything with is the mkt cap line.</t>
  </si>
  <si>
    <t>5.  The valuation waterfall uses the ebitda ranges you provided at the top and evaluates them across multiples you input in the first set of cells at the top of the waterfall section.</t>
  </si>
  <si>
    <t>STEP 15</t>
  </si>
  <si>
    <t>Go to the BULLETS tab</t>
  </si>
  <si>
    <t>1.  Lastly, this tab is a summary of the top 5 or 10 things that are most important to know about the company.  This includes business lines, recent transactions and statements made by the company.</t>
  </si>
  <si>
    <t>Name of Company</t>
  </si>
  <si>
    <t>ussw5 curncy</t>
  </si>
  <si>
    <t>US0003M Index</t>
  </si>
  <si>
    <t>Summary Page</t>
  </si>
  <si>
    <t>TODAY:</t>
  </si>
  <si>
    <t>FEDL01 Index</t>
  </si>
  <si>
    <t>LIBOR:</t>
  </si>
  <si>
    <t>5yr swap:</t>
  </si>
  <si>
    <t>PX LAST</t>
  </si>
  <si>
    <t>Current Shareholders</t>
  </si>
  <si>
    <t>FED FUNDS:</t>
  </si>
  <si>
    <t>Amount</t>
  </si>
  <si>
    <t>Market</t>
  </si>
  <si>
    <t>LTM EBITDA</t>
  </si>
  <si>
    <t>($ in millions)</t>
  </si>
  <si>
    <t>Coupon</t>
  </si>
  <si>
    <t>Maturity</t>
  </si>
  <si>
    <t>Price</t>
  </si>
  <si>
    <t>Yield</t>
  </si>
  <si>
    <t>Value</t>
  </si>
  <si>
    <t>Book</t>
  </si>
  <si>
    <t>Revolver</t>
  </si>
  <si>
    <t>Term Loan B</t>
  </si>
  <si>
    <t>Other Debt</t>
  </si>
  <si>
    <t>Total Bank Debt</t>
  </si>
  <si>
    <t>Senior Notes</t>
  </si>
  <si>
    <t>Total Senior Debt</t>
  </si>
  <si>
    <t xml:space="preserve">Total Debt </t>
  </si>
  <si>
    <t xml:space="preserve">Net Debt </t>
  </si>
  <si>
    <t>Debt Amortization</t>
  </si>
  <si>
    <t>Equity Data</t>
  </si>
  <si>
    <t>TEV / EBITDA</t>
  </si>
  <si>
    <t>Cash</t>
  </si>
  <si>
    <t>Fully Diluted Shares</t>
  </si>
  <si>
    <t>Available Credit Lines</t>
  </si>
  <si>
    <t>Share Price</t>
  </si>
  <si>
    <t>LTM</t>
  </si>
  <si>
    <t>Less: Est. Borrowings</t>
  </si>
  <si>
    <t>Total Equity Value</t>
  </si>
  <si>
    <t>FYA '13</t>
  </si>
  <si>
    <t>Less: LCs</t>
  </si>
  <si>
    <t>Net Debt</t>
  </si>
  <si>
    <t>FYA '14</t>
  </si>
  <si>
    <t>Excess (Deficit)</t>
  </si>
  <si>
    <t>Thereafter</t>
  </si>
  <si>
    <t>Total Enterprise Value</t>
  </si>
  <si>
    <t xml:space="preserve">Operating Results </t>
  </si>
  <si>
    <t>FYA</t>
  </si>
  <si>
    <t>FYE</t>
  </si>
  <si>
    <t>% growth yoy</t>
  </si>
  <si>
    <t>Total Revenues</t>
  </si>
  <si>
    <t>Operating Costs</t>
  </si>
  <si>
    <t>% of Revenues</t>
  </si>
  <si>
    <t>G&amp;A</t>
  </si>
  <si>
    <t>EBITDA</t>
  </si>
  <si>
    <t>% margin</t>
  </si>
  <si>
    <t>Cash Flows</t>
  </si>
  <si>
    <t>less: Cash Interest Expense</t>
  </si>
  <si>
    <t>less: Capital Expenditures</t>
  </si>
  <si>
    <t>less: Cash income taxes</t>
  </si>
  <si>
    <t>less: Dividends Paid</t>
  </si>
  <si>
    <t>plus: Change in Working Capital</t>
  </si>
  <si>
    <t>Free Cash Flow</t>
  </si>
  <si>
    <t>plus: Other Investing Activities</t>
  </si>
  <si>
    <t>plus: Debt Drawdown (Repayment)</t>
  </si>
  <si>
    <t>plus: Other Financing Activities</t>
  </si>
  <si>
    <t>Cash Generation</t>
  </si>
  <si>
    <t>Interest Coverage</t>
  </si>
  <si>
    <t xml:space="preserve">EBITDA / Cash Interest </t>
  </si>
  <si>
    <t xml:space="preserve">EBITDA - Capex / Cash Interest </t>
  </si>
  <si>
    <t>Leverage</t>
  </si>
  <si>
    <t>Cash on Hand</t>
  </si>
  <si>
    <t>Bank Debt</t>
  </si>
  <si>
    <t>Total Debt</t>
  </si>
  <si>
    <t>Bank Debt / EBITDA</t>
  </si>
  <si>
    <t>Total Debt / EBITDA</t>
  </si>
  <si>
    <t>Net Debt / EBITDA</t>
  </si>
  <si>
    <t>YE Dec 31st</t>
  </si>
  <si>
    <t>(in mm of $)</t>
  </si>
  <si>
    <t>Total Sales</t>
  </si>
  <si>
    <t>% change</t>
  </si>
  <si>
    <t>Gross Profit</t>
  </si>
  <si>
    <t>Margin (%)</t>
  </si>
  <si>
    <t>Cash Interest Expense, net</t>
  </si>
  <si>
    <t>Changes In Working Capital</t>
  </si>
  <si>
    <t>Taxes</t>
  </si>
  <si>
    <t>FCF</t>
  </si>
  <si>
    <t xml:space="preserve">  Margin (%)</t>
  </si>
  <si>
    <t>Cash Flow From Continuing Oper.</t>
  </si>
  <si>
    <t>Change In Cash</t>
  </si>
  <si>
    <t xml:space="preserve">Net Cash </t>
  </si>
  <si>
    <t>LTM RATIOS</t>
  </si>
  <si>
    <t>Cash Interest Coverage</t>
  </si>
  <si>
    <t>Consolidated Coverage</t>
  </si>
  <si>
    <t>Sec'd Leverage</t>
  </si>
  <si>
    <t>Consolidated Leverage</t>
  </si>
  <si>
    <t>Income Statement</t>
  </si>
  <si>
    <t>(in mm of $ execept per share amounts)</t>
  </si>
  <si>
    <t>Operating Revenues</t>
  </si>
  <si>
    <t>Segment 1</t>
  </si>
  <si>
    <t>% growth</t>
  </si>
  <si>
    <t>% of total</t>
  </si>
  <si>
    <t>Segment 2</t>
  </si>
  <si>
    <t>Segment 3</t>
  </si>
  <si>
    <t>Segment 4</t>
  </si>
  <si>
    <t>Segment 5</t>
  </si>
  <si>
    <t>Net revenues</t>
  </si>
  <si>
    <t>% Change YoY</t>
  </si>
  <si>
    <t>Cost of goods sold</t>
  </si>
  <si>
    <t>Cost of sales</t>
  </si>
  <si>
    <t>Gross profit</t>
  </si>
  <si>
    <t xml:space="preserve"> Gross margin</t>
  </si>
  <si>
    <t>SG&amp;A</t>
  </si>
  <si>
    <t xml:space="preserve">  % of net revenue</t>
  </si>
  <si>
    <t>R&amp;D</t>
  </si>
  <si>
    <t>Restructuring and impairments</t>
  </si>
  <si>
    <t>Stock compensation</t>
  </si>
  <si>
    <t>Amortization expense</t>
  </si>
  <si>
    <t>Special charges</t>
  </si>
  <si>
    <t>Operating income</t>
  </si>
  <si>
    <t xml:space="preserve">  Operating margin</t>
  </si>
  <si>
    <t>Gain from extinguishment of debt</t>
  </si>
  <si>
    <t>Interest Income</t>
  </si>
  <si>
    <t>Interest Expense</t>
  </si>
  <si>
    <t>Foreign currency gain (loss)</t>
  </si>
  <si>
    <t>Other income (expense)</t>
  </si>
  <si>
    <t xml:space="preserve"> Pretax Income</t>
  </si>
  <si>
    <t xml:space="preserve"> Income Taxes Expense (Benefit)</t>
  </si>
  <si>
    <t xml:space="preserve"> Earnings after taxes</t>
  </si>
  <si>
    <t>Discontinued operations</t>
  </si>
  <si>
    <t>Earnings before Extraord.</t>
  </si>
  <si>
    <t>Preferred dividends</t>
  </si>
  <si>
    <t>Extraordinary Items</t>
  </si>
  <si>
    <t xml:space="preserve"> Net Income</t>
  </si>
  <si>
    <t>Cashflow Statement</t>
  </si>
  <si>
    <t>Net Revenues</t>
  </si>
  <si>
    <t>Operating costs</t>
  </si>
  <si>
    <t xml:space="preserve">  Gross Profit</t>
  </si>
  <si>
    <t>SG&amp;A Expenses</t>
  </si>
  <si>
    <t>Depreciation &amp; amortization</t>
  </si>
  <si>
    <t>Non-recurring items</t>
  </si>
  <si>
    <t>Margin</t>
  </si>
  <si>
    <t>Interest Expense, net</t>
  </si>
  <si>
    <t>Non-cash Interest Expense</t>
  </si>
  <si>
    <t>Other Expenses (Income)</t>
  </si>
  <si>
    <t>Pretax Cash Flow</t>
  </si>
  <si>
    <t>Tax Benefit (Expense)</t>
  </si>
  <si>
    <t>Deferred Taxes</t>
  </si>
  <si>
    <t>Cash Taxes</t>
  </si>
  <si>
    <t>Net Cash Flow</t>
  </si>
  <si>
    <t>Other Internal Sources (Uses)</t>
  </si>
  <si>
    <t>Item 1</t>
  </si>
  <si>
    <t>Item 2</t>
  </si>
  <si>
    <t>Item 3</t>
  </si>
  <si>
    <t>Item 4</t>
  </si>
  <si>
    <t>Item 5</t>
  </si>
  <si>
    <t>Item 6</t>
  </si>
  <si>
    <t>Other Items Impacting Cash</t>
  </si>
  <si>
    <t xml:space="preserve">  Total</t>
  </si>
  <si>
    <t>Cash Flow From Operations</t>
  </si>
  <si>
    <t>Investing Sources (Uses)</t>
  </si>
  <si>
    <t>Capital Expenditures</t>
  </si>
  <si>
    <t>Proceeds from disposal of PP&amp;E</t>
  </si>
  <si>
    <t>Asset Sales</t>
  </si>
  <si>
    <t>Acquisitions, net</t>
  </si>
  <si>
    <t>Total</t>
  </si>
  <si>
    <t>Financing Sources (Uses)</t>
  </si>
  <si>
    <t>Decrease in restricted cash</t>
  </si>
  <si>
    <t>Equity Issuance</t>
  </si>
  <si>
    <t>Redemption of common stock</t>
  </si>
  <si>
    <t>Pfd Issuance</t>
  </si>
  <si>
    <t>Redemption of pfd stock</t>
  </si>
  <si>
    <t>Net increase in revolver</t>
  </si>
  <si>
    <t>Dividends</t>
  </si>
  <si>
    <t>Pfd Dividends</t>
  </si>
  <si>
    <t>Options exercised</t>
  </si>
  <si>
    <t>Units repurchased</t>
  </si>
  <si>
    <t>Financing costs</t>
  </si>
  <si>
    <t>Debt issuance</t>
  </si>
  <si>
    <t>Debt Repayment</t>
  </si>
  <si>
    <t>Net contribution from Parent</t>
  </si>
  <si>
    <t>Other</t>
  </si>
  <si>
    <t>Effect of exchange rates</t>
  </si>
  <si>
    <t>Effect of discontinued ops</t>
  </si>
  <si>
    <t>Cash - Beginning of Period</t>
  </si>
  <si>
    <t>Balance Sheet</t>
  </si>
  <si>
    <t>Cash and Cash Equivalents</t>
  </si>
  <si>
    <t>Restricted Cash</t>
  </si>
  <si>
    <t>Accounts Receivable - Net</t>
  </si>
  <si>
    <t>Inventories</t>
  </si>
  <si>
    <t>Other receivables</t>
  </si>
  <si>
    <t>Other current assets</t>
  </si>
  <si>
    <t xml:space="preserve">  Total Current Assets</t>
  </si>
  <si>
    <t>Property &amp; equipment - net</t>
  </si>
  <si>
    <t>Intangible Assets</t>
  </si>
  <si>
    <t>Other non-current assets</t>
  </si>
  <si>
    <t xml:space="preserve">  Total Assets</t>
  </si>
  <si>
    <t>Accounts Payable</t>
  </si>
  <si>
    <t>Other Accounts Payable</t>
  </si>
  <si>
    <t>Accrued Expenses</t>
  </si>
  <si>
    <t>Short term borrowings</t>
  </si>
  <si>
    <t>Other current liabilities</t>
  </si>
  <si>
    <t xml:space="preserve">  Total Current Liabilities</t>
  </si>
  <si>
    <t>Long Term Borrowings</t>
  </si>
  <si>
    <t>Accrued Severance Benefits</t>
  </si>
  <si>
    <t>Other non-current liabilities</t>
  </si>
  <si>
    <t xml:space="preserve">  Total Liabilities</t>
  </si>
  <si>
    <t>Preferreds</t>
  </si>
  <si>
    <t>Common Units</t>
  </si>
  <si>
    <t>Addtl Paid In Capital</t>
  </si>
  <si>
    <t>Accumulated Deficit</t>
  </si>
  <si>
    <t>Accumulated other comp income</t>
  </si>
  <si>
    <t xml:space="preserve">  Total Equity</t>
  </si>
  <si>
    <t xml:space="preserve">  Total Liabilities &amp; Equity</t>
  </si>
  <si>
    <t>Cap Structure</t>
  </si>
  <si>
    <t>Debt Detail</t>
  </si>
  <si>
    <t>Selected Ratios</t>
  </si>
  <si>
    <t>Accounts receivable</t>
  </si>
  <si>
    <t xml:space="preserve">  % of sales</t>
  </si>
  <si>
    <t>DSO</t>
  </si>
  <si>
    <t xml:space="preserve">  % of COGS</t>
  </si>
  <si>
    <t>DIO</t>
  </si>
  <si>
    <t>Accounts payable</t>
  </si>
  <si>
    <t>DPO</t>
  </si>
  <si>
    <t>Other accounts payable</t>
  </si>
  <si>
    <t>DAO</t>
  </si>
  <si>
    <t>Tax expense</t>
  </si>
  <si>
    <t>% of pretax income</t>
  </si>
  <si>
    <t>Capex</t>
  </si>
  <si>
    <t>% of revenues</t>
  </si>
  <si>
    <t>Sales- Segment Breakdown</t>
  </si>
  <si>
    <t>QE</t>
  </si>
  <si>
    <t>US0003M INDEX</t>
  </si>
  <si>
    <t>($ in thousands)</t>
  </si>
  <si>
    <t>LIBOR</t>
  </si>
  <si>
    <t>Q1A</t>
  </si>
  <si>
    <t>Q2A</t>
  </si>
  <si>
    <t>Q3A</t>
  </si>
  <si>
    <t>Q4A</t>
  </si>
  <si>
    <t>Q4E</t>
  </si>
  <si>
    <t>Q1E</t>
  </si>
  <si>
    <t>Q2E</t>
  </si>
  <si>
    <t>Q3E</t>
  </si>
  <si>
    <t>DEBT SCHEDULE:</t>
  </si>
  <si>
    <t>Revolving line of credit</t>
  </si>
  <si>
    <t>Bank loan</t>
  </si>
  <si>
    <t>Senior notes</t>
  </si>
  <si>
    <t>Subordinated notes</t>
  </si>
  <si>
    <t>Cash maturities:</t>
  </si>
  <si>
    <t>Cash interest expense:</t>
  </si>
  <si>
    <t>GAAP interest expense:</t>
  </si>
  <si>
    <t>Notes</t>
  </si>
  <si>
    <t>NAME OF PERSON, COMPANY, DATE</t>
  </si>
  <si>
    <t>Notes of importance include here</t>
  </si>
  <si>
    <t>Bullet points</t>
  </si>
  <si>
    <t>Management</t>
  </si>
  <si>
    <t xml:space="preserve">Corporate Structure </t>
  </si>
  <si>
    <t>Sources and Uses</t>
  </si>
  <si>
    <t>Investor</t>
  </si>
  <si>
    <t>Date</t>
  </si>
  <si>
    <t>$</t>
  </si>
  <si>
    <t>Transaction</t>
  </si>
  <si>
    <t>($MM)</t>
  </si>
  <si>
    <t>Sources</t>
  </si>
  <si>
    <t>Uses</t>
  </si>
  <si>
    <t>Equity Investors</t>
  </si>
  <si>
    <t>Initial Equity Investment</t>
  </si>
  <si>
    <t>Term Loans</t>
  </si>
  <si>
    <t>CEO stock</t>
  </si>
  <si>
    <t xml:space="preserve">(+) </t>
  </si>
  <si>
    <t>Other stock</t>
  </si>
  <si>
    <t>Various Parties</t>
  </si>
  <si>
    <t>Equity</t>
  </si>
  <si>
    <t>Debt</t>
  </si>
  <si>
    <t xml:space="preserve">(-) </t>
  </si>
  <si>
    <t>Fees</t>
  </si>
  <si>
    <t>Total Equity</t>
  </si>
  <si>
    <t xml:space="preserve">Remaining Equity </t>
  </si>
  <si>
    <t xml:space="preserve">Mult. </t>
  </si>
  <si>
    <t>Covenants</t>
  </si>
  <si>
    <t>Guarantees</t>
  </si>
  <si>
    <t>Security</t>
  </si>
  <si>
    <t>Claw</t>
  </si>
  <si>
    <t>Restricted Payments</t>
  </si>
  <si>
    <t>Debt Incurrence</t>
  </si>
  <si>
    <t>Investments</t>
  </si>
  <si>
    <t>Mandatory Repayment</t>
  </si>
  <si>
    <t>Defined Terms</t>
  </si>
  <si>
    <t>Open Market Purchases</t>
  </si>
  <si>
    <t>BANK DEBT COVENANTS AS OF _________</t>
  </si>
  <si>
    <t>Consolidated Leverage Ratio</t>
  </si>
  <si>
    <t>Consolidated Interest Coverage Ratio</t>
  </si>
  <si>
    <t>Amortization schedule</t>
  </si>
  <si>
    <t>Current</t>
  </si>
  <si>
    <t>Actual</t>
  </si>
  <si>
    <t>Discounted Cash Flow Analysis</t>
  </si>
  <si>
    <t>High Yield Note</t>
  </si>
  <si>
    <t>Bank Loan</t>
  </si>
  <si>
    <t>Total LTD</t>
  </si>
  <si>
    <t>Total Revenue</t>
  </si>
  <si>
    <t>Rev Growth</t>
  </si>
  <si>
    <t xml:space="preserve">     EBITDA Margin</t>
  </si>
  <si>
    <t>Interest</t>
  </si>
  <si>
    <t xml:space="preserve">Coverage </t>
  </si>
  <si>
    <t>NPV</t>
  </si>
  <si>
    <t xml:space="preserve"> </t>
  </si>
  <si>
    <t xml:space="preserve">Discount Rate </t>
  </si>
  <si>
    <t>Growth Rate</t>
  </si>
  <si>
    <t>CAPEX</t>
  </si>
  <si>
    <t>Total Unleveraged FCF</t>
  </si>
  <si>
    <t>Terminal Value</t>
  </si>
  <si>
    <t>Total incl. Terminal Value</t>
  </si>
  <si>
    <t>PS or HoldCo LTD O/S</t>
  </si>
  <si>
    <t>TEV</t>
  </si>
  <si>
    <t>F/D CS O/S</t>
  </si>
  <si>
    <t>NPV per CS</t>
  </si>
  <si>
    <t>SUM OF THE PARTS ANALYSIS</t>
  </si>
  <si>
    <t>COMPANY M&amp;A</t>
  </si>
  <si>
    <t>Buyer</t>
  </si>
  <si>
    <t>Seller</t>
  </si>
  <si>
    <t>Revenue</t>
  </si>
  <si>
    <t xml:space="preserve">Cash </t>
  </si>
  <si>
    <t>Stock</t>
  </si>
  <si>
    <t>Rev Multiple</t>
  </si>
  <si>
    <t>EBITDA Multiple</t>
  </si>
  <si>
    <t>AVERAGE MULTIPLE</t>
  </si>
  <si>
    <t>Geographic Breakdown</t>
  </si>
  <si>
    <t>Net Sales</t>
  </si>
  <si>
    <t>United States</t>
  </si>
  <si>
    <t>Foreign Countries</t>
  </si>
  <si>
    <t>% of Sales by Customer</t>
  </si>
  <si>
    <t>Products</t>
  </si>
  <si>
    <t>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</si>
</sst>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8">
    <numFmt numFmtId="5" formatCode="&quot;$&quot;#,##0_);\(&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_);\(&quot;$&quot;#,##0.0\)"/>
    <numFmt numFmtId="165" formatCode="0.0%"/>
    <numFmt numFmtId="166" formatCode="#,##0.0_);\(#,##0.0\)"/>
    <numFmt numFmtId="167" formatCode="0.0\x"/>
    <numFmt numFmtId="168" formatCode="&quot;$&quot;#,##0.00_)\ \ ;\(&quot;$&quot;#,##0.00\)\ \ "/>
    <numFmt numFmtId="169" formatCode="#,##0.00_)\ \ ;\(#,##0.00\)\ \ "/>
    <numFmt numFmtId="170" formatCode="0.0%_)\ \ ;\(0.0%\)\ \ "/>
    <numFmt numFmtId="171" formatCode="&quot;$&quot;#,##0.0_)\ \ ;\(&quot;$&quot;#,##0.0\)\ \ "/>
    <numFmt numFmtId="172" formatCode="#,##0.0_)\ \ ;\(#,##0.0\)\ \ "/>
    <numFmt numFmtId="173" formatCode="0.0\ \x\ \ \ \ ;&quot;NM      &quot;;\ 0.0\ \x\ \ \ \ "/>
    <numFmt numFmtId="174" formatCode="mm/dd/yy"/>
    <numFmt numFmtId="175" formatCode="\€#,##0_);\(\€#,##0\)"/>
    <numFmt numFmtId="176" formatCode="#,##0.0\x_);\(#,##0.0\x\)"/>
    <numFmt numFmtId="177" formatCode="0.000%"/>
    <numFmt numFmtId="178" formatCode="#,##0.0_);[Red]\(#,##0.0\)"/>
    <numFmt numFmtId="179" formatCode="#,##0.0"/>
    <numFmt numFmtId="180" formatCode="General_)"/>
    <numFmt numFmtId="181" formatCode="m/d/yyyy\ &quot;(E)&quot;"/>
    <numFmt numFmtId="182" formatCode=";;;"/>
    <numFmt numFmtId="183" formatCode="0.00000_)"/>
    <numFmt numFmtId="184" formatCode="0.000_)"/>
    <numFmt numFmtId="185" formatCode="#,##0.00000_);\(#,##0.00000\)"/>
    <numFmt numFmtId="186" formatCode="_(* #,##0.0_);_(* \(#,##0.0\);_(* &quot;-&quot;??_);_(@_)"/>
    <numFmt numFmtId="187" formatCode="_(* #,##0.000_);_(* \(#,##0.000\);_(* &quot;-&quot;??_);_(@_)"/>
    <numFmt numFmtId="188" formatCode="_(* #,##0.0000_);_(* \(#,##0.0000\);_(* &quot;-&quot;??_);_(@_)"/>
    <numFmt numFmtId="189" formatCode="#,##0.000_);\(#,##0.000\)"/>
    <numFmt numFmtId="190" formatCode="_(* #,##0_);_(* \(#,##0\);_(* &quot;-&quot;??_);_(@_)"/>
    <numFmt numFmtId="191" formatCode="\+0"/>
    <numFmt numFmtId="192" formatCode="mmmm\ d\,\ yyyy"/>
    <numFmt numFmtId="193" formatCode="_([$$]#,##0.0_)_%;\([$$]#,##0.0\)_%;_(&quot;–&quot;_)_%;@_)_%"/>
    <numFmt numFmtId="194" formatCode="_(#,##0_)_%;_(\(#,##0\)_%;\ _(&quot;–&quot;_)_%;\ @_(_%"/>
    <numFmt numFmtId="195" formatCode="_(0.0%_);\(0.0%\);_(&quot;–&quot;_)_%;\ @_(_%"/>
    <numFmt numFmtId="196" formatCode="_(#,##0.000_)_%;_(\(#,##0.000\)_%;\ _(&quot;–&quot;_)_%;\ @_(_%"/>
    <numFmt numFmtId="197" formatCode="_(0.0\x_)_)_';_(\(0.0\x\)_'_';\ _(&quot;–&quot;_)_%;\ @_(_%"/>
    <numFmt numFmtId="198" formatCode="&quot;$&quot;#,##0.00"/>
    <numFmt numFmtId="199" formatCode="m/d/yy;@"/>
    <numFmt numFmtId="200" formatCode="[$-409]mmm\-yy;@"/>
    <numFmt numFmtId="201" formatCode="0.00\x"/>
    <numFmt numFmtId="202" formatCode="&quot;$&quot;#,##0"/>
    <numFmt numFmtId="203" formatCode="0.0"/>
    <numFmt numFmtId="204" formatCode="0.0_)\%;\(0.0\)\%;0.0_)\%;@_)_%"/>
    <numFmt numFmtId="205" formatCode="#,##0.0_)_%;\(#,##0.0\)_%;0.0_)_%;@_)_%"/>
    <numFmt numFmtId="206" formatCode="#,##0.0_);\(#,##0.0\);#,##0.0_);@_)"/>
    <numFmt numFmtId="207" formatCode="&quot;$&quot;_(#,##0.00_);&quot;$&quot;\(#,##0.00\);&quot;$&quot;_(0.00_);@_)"/>
    <numFmt numFmtId="208" formatCode="#,##0.00_);\(#,##0.00\);0.00_);@_)"/>
    <numFmt numFmtId="209" formatCode="\€_(#,##0.00_);\€\(#,##0.00\);\€_(0.00_);@_)"/>
    <numFmt numFmtId="210" formatCode="#,##0_)\x;\(#,##0\)\x;0_)\x;@_)_x"/>
    <numFmt numFmtId="211" formatCode="#,##0_)_x;\(#,##0\)_x;0_)_x;@_)_x"/>
    <numFmt numFmtId="212" formatCode="#,##0;\(#,##0\)"/>
    <numFmt numFmtId="213" formatCode="&quot;$&quot;#,##0.0_);[Red]\(&quot;$&quot;#,##0.0\)"/>
    <numFmt numFmtId="214" formatCode="&quot;L + &quot;###"/>
    <numFmt numFmtId="215" formatCode="0.00%_);\(0.00%\);0.00%_);@_)"/>
    <numFmt numFmtId="216" formatCode="0.0000%"/>
    <numFmt numFmtId="217" formatCode="[$€-2]\ #,##0.0_);\([$€-2]\ #,##0.0\)"/>
    <numFmt numFmtId="218" formatCode="[$€-2]\ #,##0.0_);[Red]\([$€-2]\ #,##0.0\)"/>
    <numFmt numFmtId="219" formatCode="#,##0.0_);\(#,##0.0\);&quot;-&quot;"/>
    <numFmt numFmtId="220" formatCode="#,##0.0_);[Red]\(#,##0.0\);&quot;-&quot;"/>
    <numFmt numFmtId="221" formatCode="[$$]#,##0.00_);\([$$]#,##0.00\);[$$]#,##0.00_);@_)"/>
    <numFmt numFmtId="222" formatCode="#&quot;QA&quot;"/>
    <numFmt numFmtId="223" formatCode="yyyy"/>
    <numFmt numFmtId="224" formatCode="0.0%_);\(0.0%\);0.0%_);@_)"/>
    <numFmt numFmtId="225" formatCode="[$$-500A]\ #,##0.00"/>
    <numFmt numFmtId="226" formatCode="0.0\x;\(0.0\x\)"/>
    <numFmt numFmtId="227" formatCode="0.00%_);\(0.00%\)"/>
    <numFmt numFmtId="228" formatCode="&quot;$&quot;_(#,##0.00_);&quot;$&quot;\(#,##0.00\)"/>
    <numFmt numFmtId="229" formatCode="0.0%_);\(0.0%\)"/>
    <numFmt numFmtId="230" formatCode="&quot;€&quot;#,##0_);[Red]\(&quot;€&quot;#,##0\);&quot;-&quot;"/>
    <numFmt numFmtId="231" formatCode="\•\ \ @"/>
    <numFmt numFmtId="232" formatCode="#,##0,_);\(#,##0,\)"/>
    <numFmt numFmtId="233" formatCode="0.0,_);\(0.0,\)"/>
    <numFmt numFmtId="234" formatCode="0.00,_);\(0.00,\)"/>
    <numFmt numFmtId="235" formatCode="#,##0&quot;R$&quot;_);\(#,##0&quot;R$&quot;\)"/>
    <numFmt numFmtId="236" formatCode="_(* #,##0.00_);_(* \(#,##0.00\);_(* &quot;-&quot;_);_(@_)"/>
    <numFmt numFmtId="237" formatCode="#,##0_%_);\(#,##0\)_%;#,##0_%_);@_%_)"/>
    <numFmt numFmtId="238" formatCode="&quot;$&quot;#,##0.000_);\(&quot;$&quot;#,##0.000\)"/>
    <numFmt numFmtId="239" formatCode="\£#,##0_);[Red]\(\£#,##0\)"/>
    <numFmt numFmtId="240" formatCode="&quot;$&quot;#,##0_%_);\(&quot;$&quot;#,##0\)_%;&quot;$&quot;#,##0_%_);@_%_)"/>
    <numFmt numFmtId="241" formatCode="&quot;$&quot;#,##0.00_%_);\(&quot;$&quot;#,##0.00\)_%;&quot;$&quot;#,##0.00_%_);@_%_)"/>
    <numFmt numFmtId="242" formatCode="&quot;$&quot;#,##0,_);\(&quot;$&quot;#,##0,\)"/>
    <numFmt numFmtId="243" formatCode="&quot;$&quot;0.0,_);\(&quot;$&quot;0.0,\)"/>
    <numFmt numFmtId="244" formatCode="&quot;$&quot;0.00,_);\(&quot;$&quot;0.00,\)"/>
    <numFmt numFmtId="245" formatCode="m/d/yy_%_)"/>
    <numFmt numFmtId="246" formatCode="0_%_);\(0\)_%;0_%_);@_%_)"/>
    <numFmt numFmtId="247" formatCode="[$€-2]\ #,##0_);\([$€-2]\ #,##0\)"/>
    <numFmt numFmtId="248" formatCode="0.0\%_);\(0.0\%\);0.0\%_);@_%_)"/>
    <numFmt numFmtId="249" formatCode="#,##0\x;\(#,##0\x\)"/>
    <numFmt numFmtId="250" formatCode="#,##0.00\x;\(#,##0.00\x\)"/>
    <numFmt numFmtId="251" formatCode="#,##0.000\x;\(#,##0.000\x\)"/>
    <numFmt numFmtId="252" formatCode="_-* #,##0_-;\-* #,##0_-;_-* &quot;-&quot;_-;_-@_-"/>
    <numFmt numFmtId="253" formatCode="0.0\x_)_);&quot;NM&quot;_x_)_);0.0\x_)_);@_%_)"/>
    <numFmt numFmtId="254" formatCode="0.0_);\(0.0\)"/>
    <numFmt numFmtId="255" formatCode="0.00_)"/>
    <numFmt numFmtId="256" formatCode="0%;\(0%\)"/>
    <numFmt numFmtId="257" formatCode="0.0%;\(0.0%\)"/>
    <numFmt numFmtId="258" formatCode="0.000%_);\(0.000%\)"/>
    <numFmt numFmtId="259" formatCode="&quot;\&quot;#,##0.00;[Red]\-&quot;\&quot;#,##0.00"/>
    <numFmt numFmtId="260" formatCode="#,###,;\(#,###,\)"/>
    <numFmt numFmtId="261" formatCode="0000&quot;A&quot;"/>
    <numFmt numFmtId="262" formatCode="0&quot;E&quot;"/>
    <numFmt numFmtId="263" formatCode="0000&quot;E&quot;"/>
    <numFmt numFmtId="264" formatCode="0&quot;QA&quot;"/>
  </numFmts>
  <fonts count="120">
    <font>
      <sz val="10"/>
      <name val="Times New Roman"/>
      <family val="1"/>
    </font>
    <font>
      <sz val="10"/>
      <name val="Arial"/>
      <family val="2"/>
    </font>
    <font>
      <sz val="8"/>
      <name val="Palatino"/>
      <family val="1"/>
    </font>
    <font>
      <sz val="10"/>
      <name val="MS Sans Serif"/>
      <family val="2"/>
    </font>
    <font>
      <sz val="9"/>
      <name val="Arial"/>
      <family val="2"/>
    </font>
    <font>
      <sz val="7"/>
      <name val="Palatino"/>
      <family val="1"/>
    </font>
    <font>
      <sz val="6"/>
      <color indexed="12"/>
      <name val="Palatino"/>
      <family val="1"/>
    </font>
    <font>
      <sz val="18"/>
      <name val="Helvetica-Black"/>
    </font>
    <font>
      <i/>
      <sz val="14"/>
      <name val="Palatino"/>
      <family val="1"/>
    </font>
    <font>
      <u/>
      <sz val="10"/>
      <color indexed="12"/>
      <name val="Times New Roman"/>
      <family val="1"/>
    </font>
    <font>
      <sz val="8"/>
      <color indexed="12"/>
      <name val="Palatino"/>
      <family val="1"/>
    </font>
    <font>
      <sz val="10"/>
      <color indexed="12"/>
      <name val="Helvetica-Black"/>
    </font>
    <font>
      <b/>
      <sz val="10"/>
      <name val="Palatino"/>
      <family val="1"/>
    </font>
    <font>
      <sz val="9"/>
      <name val="Palatino"/>
      <family val="1"/>
    </font>
    <font>
      <sz val="10"/>
      <name val="Helvetica-Black"/>
    </font>
    <font>
      <sz val="12"/>
      <color indexed="8"/>
      <name val="Palatino"/>
      <family val="1"/>
    </font>
    <font>
      <sz val="11"/>
      <name val="Helvetica-Black"/>
    </font>
    <font>
      <b/>
      <sz val="8"/>
      <name val="Palatino"/>
      <family val="1"/>
    </font>
    <font>
      <sz val="8"/>
      <name val="Arial"/>
      <family val="2"/>
    </font>
    <font>
      <b/>
      <sz val="8"/>
      <name val="Arial"/>
      <family val="2"/>
    </font>
    <font>
      <sz val="8"/>
      <color indexed="12"/>
      <name val="Arial"/>
      <family val="2"/>
    </font>
    <font>
      <sz val="20"/>
      <name val="Times New Roman"/>
      <family val="1"/>
    </font>
    <font>
      <sz val="10"/>
      <name val="Courier"/>
      <family val="3"/>
    </font>
    <font>
      <b/>
      <sz val="20"/>
      <name val="Times New Roman"/>
      <family val="1"/>
    </font>
    <font>
      <b/>
      <sz val="18"/>
      <name val="Times New Roman"/>
      <family val="1"/>
    </font>
    <font>
      <b/>
      <sz val="12"/>
      <name val="Times New Roman"/>
      <family val="1"/>
    </font>
    <font>
      <sz val="10"/>
      <color indexed="8"/>
      <name val="Times New Roman"/>
      <family val="1"/>
    </font>
    <font>
      <b/>
      <sz val="10"/>
      <color indexed="8"/>
      <name val="Times New Roman"/>
      <family val="1"/>
    </font>
    <font>
      <i/>
      <sz val="7"/>
      <name val="Times New Roman"/>
      <family val="1"/>
    </font>
    <font>
      <sz val="10"/>
      <color indexed="12"/>
      <name val="Times New Roman"/>
      <family val="1"/>
    </font>
    <font>
      <u/>
      <sz val="10"/>
      <color indexed="8"/>
      <name val="Times New Roman"/>
      <family val="1"/>
    </font>
    <font>
      <u/>
      <sz val="10"/>
      <name val="Times New Roman"/>
      <family val="1"/>
    </font>
    <font>
      <sz val="8"/>
      <name val="Times New Roman"/>
      <family val="1"/>
    </font>
    <font>
      <b/>
      <sz val="14"/>
      <name val="Times New Roman"/>
      <family val="1"/>
    </font>
    <font>
      <b/>
      <sz val="10"/>
      <name val="Times New Roman"/>
      <family val="1"/>
    </font>
    <font>
      <b/>
      <sz val="8"/>
      <name val="Times New Roman"/>
      <family val="1"/>
    </font>
    <font>
      <sz val="10"/>
      <name val="Times New Roman"/>
      <family val="1"/>
    </font>
    <font>
      <b/>
      <sz val="10"/>
      <color indexed="12"/>
      <name val="Times New Roman"/>
      <family val="1"/>
    </font>
    <font>
      <sz val="7.5"/>
      <name val="Times New Roman"/>
      <family val="1"/>
    </font>
    <font>
      <b/>
      <sz val="10"/>
      <name val="Arial"/>
      <family val="2"/>
    </font>
    <font>
      <sz val="10"/>
      <name val="Arial"/>
      <family val="2"/>
    </font>
    <font>
      <sz val="10"/>
      <color indexed="12"/>
      <name val="Arial"/>
      <family val="2"/>
    </font>
    <font>
      <b/>
      <sz val="16"/>
      <name val="Times New Roman"/>
      <family val="1"/>
    </font>
    <font>
      <b/>
      <sz val="18"/>
      <color indexed="28"/>
      <name val="Arial"/>
      <family val="2"/>
    </font>
    <font>
      <b/>
      <sz val="12"/>
      <name val="Arial"/>
      <family val="2"/>
    </font>
    <font>
      <b/>
      <sz val="12"/>
      <color indexed="16"/>
      <name val="Arial"/>
      <family val="2"/>
    </font>
    <font>
      <sz val="10"/>
      <color indexed="16"/>
      <name val="Arial"/>
      <family val="2"/>
    </font>
    <font>
      <sz val="7"/>
      <name val="Arial"/>
      <family val="2"/>
    </font>
    <font>
      <sz val="10"/>
      <color indexed="24"/>
      <name val="Arial"/>
      <family val="2"/>
    </font>
    <font>
      <b/>
      <sz val="10"/>
      <color indexed="16"/>
      <name val="Arial"/>
      <family val="2"/>
    </font>
    <font>
      <sz val="10"/>
      <color indexed="25"/>
      <name val="Arial"/>
      <family val="2"/>
    </font>
    <font>
      <sz val="10"/>
      <color indexed="28"/>
      <name val="Arial"/>
      <family val="2"/>
    </font>
    <font>
      <i/>
      <sz val="10"/>
      <name val="Arial"/>
      <family val="2"/>
    </font>
    <font>
      <b/>
      <sz val="12"/>
      <color indexed="10"/>
      <name val="Times New Roman"/>
      <family val="1"/>
    </font>
    <font>
      <sz val="10"/>
      <name val="Arial Unicode MS"/>
      <family val="2"/>
    </font>
    <font>
      <b/>
      <sz val="10"/>
      <color indexed="12"/>
      <name val="Arial"/>
      <family val="2"/>
    </font>
    <font>
      <b/>
      <sz val="10"/>
      <color indexed="10"/>
      <name val="Arial"/>
      <family val="2"/>
    </font>
    <font>
      <b/>
      <sz val="14"/>
      <color indexed="8"/>
      <name val="Times New Roman"/>
      <family val="1"/>
    </font>
    <font>
      <i/>
      <sz val="7"/>
      <color indexed="8"/>
      <name val="Times New Roman"/>
      <family val="1"/>
    </font>
    <font>
      <b/>
      <sz val="14"/>
      <color indexed="12"/>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color indexed="63"/>
      <name val="Arial"/>
      <family val="2"/>
    </font>
    <font>
      <sz val="10"/>
      <color indexed="8"/>
      <name val="Arial"/>
      <family val="2"/>
    </font>
    <font>
      <b/>
      <sz val="10"/>
      <color indexed="8"/>
      <name val="Arial"/>
      <family val="2"/>
    </font>
    <font>
      <b/>
      <i/>
      <sz val="10"/>
      <color indexed="8"/>
      <name val="Arial"/>
      <family val="2"/>
    </font>
    <font>
      <b/>
      <i/>
      <sz val="12"/>
      <color indexed="12"/>
      <name val="Arial"/>
      <family val="2"/>
    </font>
    <font>
      <sz val="12"/>
      <name val="Times New Roman"/>
      <family val="1"/>
    </font>
    <font>
      <sz val="10"/>
      <name val="MS Sans Serif"/>
      <family val="2"/>
    </font>
    <font>
      <b/>
      <u/>
      <sz val="10"/>
      <color indexed="12"/>
      <name val="Arial"/>
      <family val="2"/>
    </font>
    <font>
      <b/>
      <u/>
      <sz val="10"/>
      <name val="Arial"/>
      <family val="2"/>
    </font>
    <font>
      <sz val="10"/>
      <color indexed="9"/>
      <name val="Arial"/>
      <family val="2"/>
    </font>
    <font>
      <b/>
      <i/>
      <sz val="10"/>
      <name val="Arial"/>
      <family val="2"/>
    </font>
    <font>
      <sz val="9"/>
      <color indexed="12"/>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1"/>
      <color indexed="10"/>
      <name val="–¾’©"/>
      <charset val="128"/>
    </font>
    <font>
      <sz val="10"/>
      <color indexed="22"/>
      <name val="Times New Roman"/>
      <family val="1"/>
    </font>
    <font>
      <sz val="9"/>
      <name val="Times New Roman"/>
      <family val="1"/>
    </font>
    <font>
      <sz val="10"/>
      <name val="HELVETICA"/>
      <family val="2"/>
    </font>
    <font>
      <i/>
      <sz val="8"/>
      <name val="Arial"/>
      <family val="2"/>
    </font>
    <font>
      <sz val="8"/>
      <color indexed="22"/>
      <name val="Arial"/>
      <family val="2"/>
    </font>
    <font>
      <sz val="10"/>
      <color indexed="42"/>
      <name val="Times New Roman"/>
      <family val="1"/>
    </font>
    <font>
      <b/>
      <sz val="10"/>
      <color indexed="22"/>
      <name val="Times New Roman"/>
      <family val="1"/>
    </font>
    <font>
      <b/>
      <i/>
      <sz val="10"/>
      <name val="Times New Roman"/>
      <family val="1"/>
    </font>
    <font>
      <b/>
      <sz val="8"/>
      <name val="MS Sans Serif"/>
      <family val="2"/>
    </font>
    <font>
      <i/>
      <sz val="10"/>
      <color indexed="22"/>
      <name val="Times New Roman"/>
      <family val="1"/>
    </font>
    <font>
      <b/>
      <i/>
      <sz val="16"/>
      <name val="Helv"/>
    </font>
    <font>
      <sz val="10"/>
      <color indexed="8"/>
      <name val="MS Sans Serif"/>
      <family val="2"/>
    </font>
    <font>
      <i/>
      <sz val="10"/>
      <name val="Helv"/>
    </font>
    <font>
      <sz val="8"/>
      <name val="Helv"/>
    </font>
    <font>
      <b/>
      <sz val="10"/>
      <color indexed="8"/>
      <name val="Arial Narrow"/>
      <family val="2"/>
    </font>
    <font>
      <sz val="10"/>
      <color indexed="40"/>
      <name val="Times New Roman"/>
      <family val="1"/>
    </font>
    <font>
      <b/>
      <i/>
      <sz val="8"/>
      <name val="Times New Roman"/>
      <family val="1"/>
    </font>
    <font>
      <sz val="10"/>
      <name val="Tms Rmn"/>
    </font>
    <font>
      <sz val="9"/>
      <color indexed="8"/>
      <name val="Times New Roman"/>
      <family val="1"/>
    </font>
    <font>
      <sz val="10"/>
      <name val="Helv"/>
    </font>
    <font>
      <b/>
      <sz val="9"/>
      <name val="Palatino"/>
      <family val="1"/>
    </font>
    <font>
      <sz val="9"/>
      <color indexed="21"/>
      <name val="Helvetica-Black"/>
    </font>
    <font>
      <b/>
      <sz val="9"/>
      <name val="Times New Roman"/>
      <family val="1"/>
    </font>
    <font>
      <b/>
      <sz val="11"/>
      <name val="Times New Roman"/>
      <family val="1"/>
    </font>
    <font>
      <sz val="10"/>
      <color indexed="21"/>
      <name val="Times New Roman"/>
      <family val="1"/>
    </font>
    <font>
      <sz val="10"/>
      <name val="Courier"/>
      <family val="3"/>
    </font>
    <font>
      <sz val="20"/>
      <color rgb="FF0000FF"/>
      <name val="Times New Roman"/>
      <family val="1"/>
    </font>
    <font>
      <b/>
      <sz val="18"/>
      <color rgb="FF0000FF"/>
      <name val="Times New Roman"/>
      <family val="1"/>
    </font>
    <font>
      <b/>
      <sz val="12"/>
      <color rgb="FF0000FF"/>
      <name val="Times New Roman"/>
      <family val="1"/>
    </font>
    <font>
      <sz val="10"/>
      <color rgb="FF0000FF"/>
      <name val="Times New Roman"/>
      <family val="1"/>
    </font>
    <font>
      <b/>
      <sz val="10"/>
      <color rgb="FF0000FF"/>
      <name val="Times New Roman"/>
      <family val="1"/>
    </font>
    <font>
      <u/>
      <sz val="10"/>
      <color rgb="FF0000FF"/>
      <name val="Times New Roman"/>
      <family val="1"/>
    </font>
    <font>
      <sz val="10"/>
      <color theme="0"/>
      <name val="Times New Roman"/>
      <family val="1"/>
    </font>
    <font>
      <b/>
      <sz val="10"/>
      <color rgb="FF0000FF"/>
      <name val="Arial"/>
      <family val="2"/>
    </font>
    <font>
      <b/>
      <sz val="14"/>
      <color rgb="FF0000FF"/>
      <name val="Arial"/>
      <family val="2"/>
    </font>
    <font>
      <sz val="10"/>
      <color rgb="FF0000FF"/>
      <name val="Arial"/>
      <family val="2"/>
    </font>
    <font>
      <b/>
      <u/>
      <sz val="10"/>
      <color rgb="FF0000FF"/>
      <name val="Arial"/>
      <family val="2"/>
    </font>
  </fonts>
  <fills count="15">
    <fill>
      <patternFill patternType="none"/>
    </fill>
    <fill>
      <patternFill patternType="gray125"/>
    </fill>
    <fill>
      <patternFill patternType="solid">
        <fgColor indexed="43"/>
      </patternFill>
    </fill>
    <fill>
      <patternFill patternType="solid">
        <fgColor indexed="53"/>
        <bgColor indexed="64"/>
      </patternFill>
    </fill>
    <fill>
      <patternFill patternType="solid">
        <fgColor indexed="39"/>
        <bgColor indexed="64"/>
      </patternFill>
    </fill>
    <fill>
      <patternFill patternType="solid">
        <fgColor indexed="11"/>
        <bgColor indexed="64"/>
      </patternFill>
    </fill>
    <fill>
      <patternFill patternType="solid">
        <fgColor indexed="22"/>
        <bgColor indexed="64"/>
      </patternFill>
    </fill>
    <fill>
      <patternFill patternType="solid">
        <fgColor indexed="55"/>
        <bgColor indexed="64"/>
      </patternFill>
    </fill>
    <fill>
      <patternFill patternType="solid">
        <fgColor indexed="38"/>
        <bgColor indexed="64"/>
      </patternFill>
    </fill>
    <fill>
      <patternFill patternType="solid">
        <fgColor indexed="13"/>
        <bgColor indexed="64"/>
      </patternFill>
    </fill>
    <fill>
      <patternFill patternType="solid">
        <fgColor indexed="26"/>
        <bgColor indexed="64"/>
      </patternFill>
    </fill>
    <fill>
      <patternFill patternType="solid">
        <fgColor indexed="9"/>
        <bgColor indexed="64"/>
      </patternFill>
    </fill>
    <fill>
      <patternFill patternType="solid">
        <fgColor indexed="16"/>
        <bgColor indexed="64"/>
      </patternFill>
    </fill>
    <fill>
      <patternFill patternType="solid">
        <fgColor indexed="8"/>
        <bgColor indexed="64"/>
      </patternFill>
    </fill>
    <fill>
      <patternFill patternType="solid">
        <fgColor indexed="43"/>
        <bgColor indexed="64"/>
      </patternFill>
    </fill>
  </fills>
  <borders count="61">
    <border>
      <left/>
      <right/>
      <top/>
      <bottom/>
      <diagonal/>
    </border>
    <border>
      <left/>
      <right/>
      <top style="hair">
        <color indexed="8"/>
      </top>
      <bottom style="hair">
        <color indexed="8"/>
      </bottom>
      <diagonal/>
    </border>
    <border>
      <left/>
      <right/>
      <top/>
      <bottom style="medium">
        <color indexed="1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hair">
        <color indexed="64"/>
      </bottom>
      <diagonal/>
    </border>
    <border>
      <left/>
      <right/>
      <top style="double">
        <color indexed="64"/>
      </top>
      <bottom style="double">
        <color indexed="64"/>
      </bottom>
      <diagonal/>
    </border>
    <border>
      <left/>
      <right/>
      <top/>
      <bottom style="dotted">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style="medium">
        <color indexed="64"/>
      </top>
      <bottom style="thin">
        <color indexed="64"/>
      </bottom>
      <diagonal/>
    </border>
    <border>
      <left/>
      <right/>
      <top style="thin">
        <color indexed="64"/>
      </top>
      <bottom/>
      <diagonal/>
    </border>
    <border>
      <left/>
      <right/>
      <top/>
      <bottom style="double">
        <color indexed="64"/>
      </bottom>
      <diagonal/>
    </border>
    <border>
      <left/>
      <right/>
      <top/>
      <bottom style="hair">
        <color indexed="2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16"/>
      </bottom>
      <diagonal/>
    </border>
    <border>
      <left/>
      <right/>
      <top style="thin">
        <color indexed="64"/>
      </top>
      <bottom style="medium">
        <color indexed="16"/>
      </bottom>
      <diagonal/>
    </border>
    <border>
      <left/>
      <right style="thin">
        <color indexed="64"/>
      </right>
      <top style="thin">
        <color indexed="64"/>
      </top>
      <bottom style="medium">
        <color indexed="16"/>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16"/>
      </bottom>
      <diagonal/>
    </border>
    <border>
      <left/>
      <right/>
      <top/>
      <bottom style="medium">
        <color indexed="16"/>
      </bottom>
      <diagonal/>
    </border>
    <border>
      <left/>
      <right style="thin">
        <color indexed="64"/>
      </right>
      <top/>
      <bottom style="medium">
        <color indexed="16"/>
      </bottom>
      <diagonal/>
    </border>
    <border>
      <left/>
      <right style="thin">
        <color indexed="64"/>
      </right>
      <top/>
      <bottom style="thin">
        <color indexed="22"/>
      </bottom>
      <diagonal/>
    </border>
    <border>
      <left style="thin">
        <color indexed="64"/>
      </left>
      <right/>
      <top style="thin">
        <color indexed="22"/>
      </top>
      <bottom style="medium">
        <color indexed="16"/>
      </bottom>
      <diagonal/>
    </border>
    <border>
      <left/>
      <right/>
      <top style="thin">
        <color indexed="22"/>
      </top>
      <bottom style="medium">
        <color indexed="16"/>
      </bottom>
      <diagonal/>
    </border>
    <border>
      <left/>
      <right style="thin">
        <color indexed="64"/>
      </right>
      <top style="thin">
        <color indexed="22"/>
      </top>
      <bottom style="medium">
        <color indexed="16"/>
      </bottom>
      <diagonal/>
    </border>
    <border>
      <left style="thin">
        <color indexed="64"/>
      </left>
      <right/>
      <top/>
      <bottom style="thin">
        <color indexed="22"/>
      </bottom>
      <diagonal/>
    </border>
    <border>
      <left/>
      <right/>
      <top/>
      <bottom style="thin">
        <color indexed="22"/>
      </bottom>
      <diagonal/>
    </border>
    <border>
      <left style="thin">
        <color indexed="64"/>
      </left>
      <right/>
      <top/>
      <bottom style="thin">
        <color indexed="64"/>
      </bottom>
      <diagonal/>
    </border>
    <border>
      <left style="thin">
        <color indexed="64"/>
      </left>
      <right/>
      <top style="medium">
        <color indexed="16"/>
      </top>
      <bottom style="medium">
        <color indexed="16"/>
      </bottom>
      <diagonal/>
    </border>
    <border>
      <left/>
      <right style="thin">
        <color indexed="64"/>
      </right>
      <top style="medium">
        <color indexed="16"/>
      </top>
      <bottom style="medium">
        <color indexed="16"/>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22"/>
      </bottom>
      <diagonal/>
    </border>
    <border>
      <left style="medium">
        <color indexed="64"/>
      </left>
      <right/>
      <top style="thin">
        <color indexed="22"/>
      </top>
      <bottom style="medium">
        <color indexed="64"/>
      </bottom>
      <diagonal/>
    </border>
    <border>
      <left/>
      <right/>
      <top style="thin">
        <color indexed="22"/>
      </top>
      <bottom style="medium">
        <color indexed="64"/>
      </bottom>
      <diagonal/>
    </border>
    <border>
      <left/>
      <right style="medium">
        <color indexed="64"/>
      </right>
      <top style="thin">
        <color indexed="22"/>
      </top>
      <bottom style="medium">
        <color indexed="64"/>
      </bottom>
      <diagonal/>
    </border>
    <border>
      <left/>
      <right style="medium">
        <color indexed="64"/>
      </right>
      <top/>
      <bottom style="thin">
        <color indexed="22"/>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16"/>
      </top>
      <bottom/>
      <diagonal/>
    </border>
    <border>
      <left/>
      <right style="thin">
        <color indexed="64"/>
      </right>
      <top style="thin">
        <color indexed="64"/>
      </top>
      <bottom style="thin">
        <color indexed="64"/>
      </bottom>
      <diagonal/>
    </border>
    <border>
      <left style="thick">
        <color indexed="9"/>
      </left>
      <right style="thick">
        <color indexed="9"/>
      </right>
      <top/>
      <bottom style="thin">
        <color indexed="23"/>
      </bottom>
      <diagonal/>
    </border>
    <border>
      <left/>
      <right/>
      <top/>
      <bottom style="thin">
        <color indexed="23"/>
      </bottom>
      <diagonal/>
    </border>
    <border>
      <left style="thin">
        <color indexed="64"/>
      </left>
      <right/>
      <top/>
      <bottom style="thin">
        <color indexed="23"/>
      </bottom>
      <diagonal/>
    </border>
    <border>
      <left style="thick">
        <color indexed="9"/>
      </left>
      <right/>
      <top/>
      <bottom style="thin">
        <color indexed="23"/>
      </bottom>
      <diagonal/>
    </border>
    <border>
      <left style="thick">
        <color indexed="9"/>
      </left>
      <right style="thin">
        <color indexed="64"/>
      </right>
      <top/>
      <bottom style="thin">
        <color indexed="23"/>
      </bottom>
      <diagonal/>
    </border>
    <border>
      <left/>
      <right style="thick">
        <color indexed="9"/>
      </right>
      <top/>
      <bottom style="thin">
        <color indexed="23"/>
      </bottom>
      <diagonal/>
    </border>
    <border>
      <left/>
      <right style="thin">
        <color indexed="64"/>
      </right>
      <top/>
      <bottom style="thin">
        <color indexed="23"/>
      </bottom>
      <diagonal/>
    </border>
  </borders>
  <cellStyleXfs count="235">
    <xf numFmtId="0" fontId="0" fillId="0" borderId="0"/>
    <xf numFmtId="0" fontId="36" fillId="0" borderId="0"/>
    <xf numFmtId="0" fontId="40" fillId="0" borderId="0"/>
    <xf numFmtId="204" fontId="1" fillId="0" borderId="0" applyFont="0" applyFill="0" applyBorder="0" applyAlignment="0" applyProtection="0"/>
    <xf numFmtId="205" fontId="1" fillId="0" borderId="0" applyFont="0" applyFill="0" applyBorder="0" applyAlignment="0" applyProtection="0"/>
    <xf numFmtId="0" fontId="66" fillId="0" borderId="0">
      <alignment vertical="top"/>
    </xf>
    <xf numFmtId="0" fontId="66" fillId="0" borderId="0">
      <alignment vertical="top"/>
    </xf>
    <xf numFmtId="0" fontId="40" fillId="0" borderId="0">
      <alignment horizontal="left" wrapText="1"/>
    </xf>
    <xf numFmtId="206" fontId="1" fillId="0" borderId="0" applyFont="0" applyFill="0" applyBorder="0" applyAlignment="0" applyProtection="0"/>
    <xf numFmtId="166" fontId="40" fillId="0" borderId="0" applyFont="0" applyFill="0" applyBorder="0" applyAlignment="0" applyProtection="0"/>
    <xf numFmtId="207" fontId="1" fillId="0" borderId="0" applyFont="0" applyFill="0" applyBorder="0" applyAlignment="0" applyProtection="0"/>
    <xf numFmtId="228" fontId="40" fillId="0" borderId="0" applyFont="0" applyFill="0" applyBorder="0" applyAlignment="0" applyProtection="0"/>
    <xf numFmtId="208" fontId="1" fillId="0" borderId="0" applyFont="0" applyFill="0" applyBorder="0" applyAlignment="0" applyProtection="0"/>
    <xf numFmtId="209" fontId="1" fillId="0" borderId="0" applyFont="0" applyFill="0" applyBorder="0" applyAlignment="0" applyProtection="0"/>
    <xf numFmtId="0" fontId="40" fillId="0" borderId="0">
      <alignment horizontal="left" wrapText="1"/>
    </xf>
    <xf numFmtId="0" fontId="60" fillId="0" borderId="0" applyNumberFormat="0" applyFill="0" applyBorder="0" applyAlignment="0" applyProtection="0"/>
    <xf numFmtId="0" fontId="77" fillId="0" borderId="0" applyNumberFormat="0" applyFill="0" applyBorder="0" applyAlignment="0" applyProtection="0"/>
    <xf numFmtId="0" fontId="1" fillId="2" borderId="0" applyNumberFormat="0" applyFont="0" applyAlignment="0" applyProtection="0"/>
    <xf numFmtId="0" fontId="40" fillId="0" borderId="0">
      <alignment horizontal="left" wrapText="1"/>
    </xf>
    <xf numFmtId="0" fontId="40" fillId="0" borderId="0">
      <alignment vertical="top"/>
    </xf>
    <xf numFmtId="0" fontId="40" fillId="0" borderId="0">
      <alignment vertical="top"/>
    </xf>
    <xf numFmtId="0" fontId="40" fillId="0" borderId="0">
      <alignment horizontal="left" wrapText="1"/>
    </xf>
    <xf numFmtId="0" fontId="40" fillId="0" borderId="0">
      <alignment horizontal="left" wrapText="1"/>
    </xf>
    <xf numFmtId="0" fontId="40" fillId="0" borderId="0">
      <alignment horizontal="left" wrapText="1"/>
    </xf>
    <xf numFmtId="210" fontId="1" fillId="0" borderId="0" applyFont="0" applyFill="0" applyBorder="0" applyAlignment="0" applyProtection="0"/>
    <xf numFmtId="211" fontId="1" fillId="0" borderId="0" applyFont="0" applyFill="0" applyBorder="0" applyProtection="0">
      <alignment horizontal="right"/>
    </xf>
    <xf numFmtId="0" fontId="40" fillId="0" borderId="0">
      <alignment horizontal="left" wrapText="1"/>
    </xf>
    <xf numFmtId="0" fontId="40" fillId="0" borderId="0">
      <alignment vertical="top"/>
    </xf>
    <xf numFmtId="0" fontId="40" fillId="0" borderId="0">
      <alignment vertical="top"/>
    </xf>
    <xf numFmtId="0" fontId="40" fillId="0" borderId="0">
      <alignment horizontal="left" wrapText="1"/>
    </xf>
    <xf numFmtId="0" fontId="40" fillId="0" borderId="0">
      <alignment horizontal="left" wrapText="1"/>
    </xf>
    <xf numFmtId="0" fontId="61" fillId="0" borderId="0" applyNumberFormat="0" applyFill="0" applyBorder="0" applyProtection="0">
      <alignment vertical="top"/>
    </xf>
    <xf numFmtId="0" fontId="78" fillId="0" borderId="0" applyNumberFormat="0" applyFill="0" applyBorder="0" applyProtection="0">
      <alignment vertical="top"/>
    </xf>
    <xf numFmtId="0" fontId="62" fillId="0" borderId="1" applyNumberFormat="0" applyFill="0" applyAlignment="0" applyProtection="0"/>
    <xf numFmtId="0" fontId="79" fillId="0" borderId="1" applyNumberFormat="0" applyFill="0" applyAlignment="0" applyProtection="0"/>
    <xf numFmtId="0" fontId="63" fillId="0" borderId="2" applyNumberFormat="0" applyFill="0" applyProtection="0">
      <alignment horizontal="center"/>
    </xf>
    <xf numFmtId="0" fontId="80" fillId="0" borderId="2" applyNumberFormat="0" applyFill="0" applyProtection="0">
      <alignment horizontal="center"/>
    </xf>
    <xf numFmtId="0" fontId="63" fillId="0" borderId="0" applyNumberFormat="0" applyFill="0" applyBorder="0" applyProtection="0">
      <alignment horizontal="left"/>
    </xf>
    <xf numFmtId="0" fontId="80" fillId="0" borderId="0" applyNumberFormat="0" applyFill="0" applyBorder="0" applyProtection="0">
      <alignment horizontal="left"/>
    </xf>
    <xf numFmtId="0" fontId="64" fillId="0" borderId="0" applyNumberFormat="0" applyFill="0" applyBorder="0" applyProtection="0">
      <alignment horizontal="centerContinuous"/>
    </xf>
    <xf numFmtId="0" fontId="81" fillId="0" borderId="0" applyNumberFormat="0" applyFill="0" applyBorder="0" applyProtection="0">
      <alignment horizontal="centerContinuous"/>
    </xf>
    <xf numFmtId="0" fontId="40" fillId="0" borderId="0">
      <alignment vertical="top"/>
    </xf>
    <xf numFmtId="0" fontId="82" fillId="0" borderId="0"/>
    <xf numFmtId="0" fontId="36" fillId="0" borderId="0"/>
    <xf numFmtId="229" fontId="36" fillId="3" borderId="0" applyNumberFormat="0" applyFill="0" applyBorder="0" applyAlignment="0" applyProtection="0">
      <alignment horizontal="right" vertical="center"/>
    </xf>
    <xf numFmtId="230" fontId="36" fillId="0" borderId="0" applyFont="0" applyFill="0" applyBorder="0" applyAlignment="0" applyProtection="0"/>
    <xf numFmtId="229" fontId="29" fillId="0" borderId="0" applyNumberFormat="0" applyFill="0" applyBorder="0" applyAlignment="0" applyProtection="0"/>
    <xf numFmtId="14" fontId="83" fillId="0" borderId="0"/>
    <xf numFmtId="0" fontId="1" fillId="0" borderId="3" applyNumberFormat="0" applyFont="0" applyFill="0" applyAlignment="0" applyProtection="0"/>
    <xf numFmtId="0" fontId="40" fillId="0" borderId="4" applyNumberFormat="0" applyFont="0" applyFill="0" applyAlignment="0" applyProtection="0"/>
    <xf numFmtId="231" fontId="70" fillId="0" borderId="0" applyFont="0" applyFill="0" applyBorder="0" applyAlignment="0" applyProtection="0"/>
    <xf numFmtId="37" fontId="29" fillId="0" borderId="0" applyFont="0" applyFill="0" applyBorder="0" applyAlignment="0" applyProtection="0">
      <alignment vertical="center"/>
      <protection locked="0"/>
    </xf>
    <xf numFmtId="232" fontId="36" fillId="0" borderId="0" applyFont="0" applyFill="0" applyBorder="0" applyAlignment="0" applyProtection="0"/>
    <xf numFmtId="0" fontId="27" fillId="0" borderId="0"/>
    <xf numFmtId="166" fontId="76" fillId="0" borderId="0" applyFont="0" applyFill="0" applyBorder="0" applyAlignment="0" applyProtection="0">
      <protection locked="0"/>
    </xf>
    <xf numFmtId="233" fontId="76" fillId="0" borderId="0" applyFont="0" applyFill="0" applyBorder="0" applyAlignment="0" applyProtection="0">
      <protection locked="0"/>
    </xf>
    <xf numFmtId="39" fontId="40" fillId="0" borderId="0" applyFont="0" applyFill="0" applyBorder="0" applyAlignment="0" applyProtection="0"/>
    <xf numFmtId="234" fontId="84" fillId="0" borderId="0" applyFont="0" applyFill="0" applyBorder="0" applyAlignment="0" applyProtection="0"/>
    <xf numFmtId="189" fontId="36" fillId="0" borderId="0" applyFont="0" applyFill="0" applyBorder="0" applyAlignment="0" applyProtection="0"/>
    <xf numFmtId="0" fontId="40" fillId="0" borderId="0" applyFill="0" applyBorder="0" applyAlignment="0"/>
    <xf numFmtId="0" fontId="40" fillId="0" borderId="0" applyFill="0" applyBorder="0" applyAlignment="0"/>
    <xf numFmtId="0" fontId="40" fillId="0" borderId="0" applyFill="0" applyBorder="0" applyAlignment="0"/>
    <xf numFmtId="235" fontId="71"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4" applyNumberFormat="0" applyFont="0" applyFill="0" applyBorder="0" applyProtection="0">
      <alignment horizontal="centerContinuous" vertical="center"/>
    </xf>
    <xf numFmtId="43" fontId="1" fillId="0" borderId="0" applyFont="0" applyFill="0" applyBorder="0" applyAlignment="0" applyProtection="0"/>
    <xf numFmtId="37" fontId="70" fillId="0" borderId="0"/>
    <xf numFmtId="0" fontId="40" fillId="0" borderId="0" applyFont="0" applyFill="0" applyBorder="0" applyAlignment="0" applyProtection="0"/>
    <xf numFmtId="236" fontId="70" fillId="0" borderId="0"/>
    <xf numFmtId="237" fontId="2" fillId="0" borderId="0" applyFont="0" applyFill="0" applyBorder="0" applyAlignment="0" applyProtection="0">
      <alignment horizontal="right"/>
    </xf>
    <xf numFmtId="43" fontId="40" fillId="0" borderId="0" applyFont="0" applyFill="0" applyBorder="0" applyAlignment="0" applyProtection="0"/>
    <xf numFmtId="43" fontId="40" fillId="0" borderId="0" applyFont="0" applyFill="0" applyBorder="0" applyAlignment="0" applyProtection="0"/>
    <xf numFmtId="10" fontId="40" fillId="0" borderId="0"/>
    <xf numFmtId="238" fontId="70" fillId="0" borderId="0"/>
    <xf numFmtId="239" fontId="85" fillId="0" borderId="0"/>
    <xf numFmtId="0" fontId="40" fillId="0" borderId="0" applyFont="0" applyFill="0" applyBorder="0" applyAlignment="0" applyProtection="0"/>
    <xf numFmtId="240" fontId="2" fillId="0" borderId="0" applyFont="0" applyFill="0" applyBorder="0" applyAlignment="0" applyProtection="0">
      <alignment horizontal="right"/>
    </xf>
    <xf numFmtId="241" fontId="2" fillId="0" borderId="0" applyFont="0" applyFill="0" applyBorder="0" applyAlignment="0" applyProtection="0">
      <alignment horizontal="right"/>
    </xf>
    <xf numFmtId="168" fontId="2" fillId="0" borderId="0" applyFill="0" applyBorder="0" applyProtection="0">
      <alignment vertical="center"/>
    </xf>
    <xf numFmtId="5" fontId="40" fillId="0" borderId="0" applyFont="0" applyFill="0" applyBorder="0" applyAlignment="0" applyProtection="0"/>
    <xf numFmtId="242" fontId="36" fillId="0" borderId="0" applyFont="0" applyFill="0" applyBorder="0" applyAlignment="0" applyProtection="0"/>
    <xf numFmtId="164" fontId="40" fillId="0" borderId="0" applyFont="0" applyFill="0" applyBorder="0" applyAlignment="0" applyProtection="0"/>
    <xf numFmtId="243" fontId="76" fillId="0" borderId="0" applyFont="0" applyFill="0" applyBorder="0" applyAlignment="0" applyProtection="0">
      <protection locked="0"/>
    </xf>
    <xf numFmtId="7" fontId="18" fillId="0" borderId="0" applyFont="0" applyFill="0" applyBorder="0" applyAlignment="0" applyProtection="0"/>
    <xf numFmtId="244" fontId="84" fillId="0" borderId="0" applyFont="0" applyFill="0" applyBorder="0" applyAlignment="0" applyProtection="0"/>
    <xf numFmtId="238" fontId="34" fillId="0" borderId="0" applyFont="0" applyFill="0" applyBorder="0" applyAlignment="0" applyProtection="0"/>
    <xf numFmtId="0" fontId="86" fillId="4" borderId="5" applyNumberFormat="0" applyFont="0" applyFill="0" applyAlignment="0" applyProtection="0">
      <alignment horizontal="left" indent="1"/>
    </xf>
    <xf numFmtId="199" fontId="87" fillId="0" borderId="0" applyFont="0" applyFill="0" applyBorder="0" applyAlignment="0" applyProtection="0"/>
    <xf numFmtId="245" fontId="2" fillId="0" borderId="0" applyFont="0" applyFill="0" applyBorder="0" applyAlignment="0" applyProtection="0"/>
    <xf numFmtId="14" fontId="66" fillId="0" borderId="0" applyFill="0" applyBorder="0" applyAlignment="0"/>
    <xf numFmtId="199" fontId="87" fillId="0" borderId="0" applyFont="0" applyFill="0" applyBorder="0" applyAlignment="0" applyProtection="0"/>
    <xf numFmtId="14" fontId="40" fillId="0" borderId="0"/>
    <xf numFmtId="38" fontId="71" fillId="0" borderId="6">
      <alignment vertical="center"/>
    </xf>
    <xf numFmtId="41" fontId="66" fillId="0" borderId="0" applyFont="0" applyFill="0" applyBorder="0" applyAlignment="0" applyProtection="0"/>
    <xf numFmtId="43" fontId="66" fillId="0" borderId="0" applyFont="0" applyFill="0" applyBorder="0" applyAlignment="0" applyProtection="0"/>
    <xf numFmtId="164" fontId="3" fillId="0" borderId="0"/>
    <xf numFmtId="246" fontId="2" fillId="0" borderId="7" applyNumberFormat="0" applyFont="0" applyFill="0" applyAlignment="0" applyProtection="0"/>
    <xf numFmtId="247" fontId="36" fillId="0" borderId="0" applyFont="0" applyFill="0" applyBorder="0" applyAlignment="0" applyProtection="0"/>
    <xf numFmtId="217" fontId="36" fillId="0" borderId="0" applyFont="0" applyFill="0" applyAlignment="0" applyProtection="0"/>
    <xf numFmtId="247" fontId="36" fillId="0" borderId="0" applyFont="0" applyFill="0" applyBorder="0" applyAlignment="0" applyProtection="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175" fontId="4" fillId="0" borderId="0"/>
    <xf numFmtId="212" fontId="65" fillId="5" borderId="0" applyFill="0" applyAlignment="0">
      <alignment horizontal="left" vertical="center"/>
    </xf>
    <xf numFmtId="38" fontId="32" fillId="0" borderId="0"/>
    <xf numFmtId="0" fontId="5" fillId="0" borderId="0" applyFill="0" applyBorder="0" applyProtection="0">
      <alignment vertical="center"/>
    </xf>
    <xf numFmtId="166" fontId="88" fillId="0" borderId="0" applyNumberFormat="0" applyFill="0" applyBorder="0" applyAlignment="0" applyProtection="0"/>
    <xf numFmtId="0" fontId="18" fillId="0" borderId="0" applyFont="0" applyFill="0" applyBorder="0" applyAlignment="0" applyProtection="0"/>
    <xf numFmtId="0" fontId="88" fillId="0" borderId="0" applyNumberFormat="0" applyFill="0" applyBorder="0" applyAlignment="0" applyProtection="0"/>
    <xf numFmtId="38" fontId="18" fillId="6" borderId="0" applyNumberFormat="0" applyBorder="0" applyAlignment="0" applyProtection="0"/>
    <xf numFmtId="0" fontId="39" fillId="7" borderId="8" applyAlignment="0" applyProtection="0"/>
    <xf numFmtId="248" fontId="2" fillId="0" borderId="0" applyFont="0" applyFill="0" applyBorder="0" applyAlignment="0" applyProtection="0">
      <alignment horizontal="right"/>
    </xf>
    <xf numFmtId="0" fontId="6" fillId="0" borderId="0">
      <alignment horizontal="right"/>
    </xf>
    <xf numFmtId="0" fontId="44" fillId="0" borderId="9" applyNumberFormat="0" applyAlignment="0" applyProtection="0">
      <alignment horizontal="left" vertical="center"/>
    </xf>
    <xf numFmtId="0" fontId="44" fillId="0" borderId="8">
      <alignment horizontal="left" vertical="center"/>
    </xf>
    <xf numFmtId="0" fontId="34" fillId="0" borderId="5" applyNumberFormat="0" applyFill="0" applyProtection="0">
      <alignment horizontal="centerContinuous"/>
    </xf>
    <xf numFmtId="0" fontId="7" fillId="0" borderId="0" applyFill="0" applyBorder="0" applyProtection="0"/>
    <xf numFmtId="0" fontId="8" fillId="0" borderId="0" applyFill="0" applyBorder="0" applyProtection="0"/>
    <xf numFmtId="0" fontId="89" fillId="0" borderId="4" applyNumberFormat="0" applyFill="0" applyAlignment="0" applyProtection="0"/>
    <xf numFmtId="0" fontId="87" fillId="8" borderId="0" applyNumberFormat="0" applyFont="0" applyBorder="0" applyAlignment="0" applyProtection="0"/>
    <xf numFmtId="37" fontId="39" fillId="0" borderId="0"/>
    <xf numFmtId="0" fontId="9" fillId="0" borderId="0" applyNumberFormat="0" applyFill="0" applyBorder="0" applyAlignment="0" applyProtection="0">
      <alignment vertical="top"/>
      <protection locked="0"/>
    </xf>
    <xf numFmtId="0" fontId="37" fillId="9" borderId="3" applyNumberFormat="0" applyAlignment="0" applyProtection="0"/>
    <xf numFmtId="172" fontId="10" fillId="0" borderId="0" applyFill="0" applyBorder="0" applyProtection="0">
      <alignment vertical="center"/>
    </xf>
    <xf numFmtId="10" fontId="18" fillId="10" borderId="3" applyNumberFormat="0" applyBorder="0" applyAlignment="0" applyProtection="0"/>
    <xf numFmtId="171" fontId="10" fillId="0" borderId="0" applyFill="0" applyBorder="0" applyProtection="0">
      <alignment vertical="center"/>
    </xf>
    <xf numFmtId="168" fontId="10" fillId="0" borderId="0" applyFill="0" applyBorder="0" applyProtection="0">
      <alignment vertical="center"/>
    </xf>
    <xf numFmtId="173" fontId="10" fillId="0" borderId="0" applyFill="0" applyBorder="0" applyProtection="0">
      <alignment vertical="center"/>
    </xf>
    <xf numFmtId="170" fontId="10" fillId="0" borderId="0" applyFill="0" applyBorder="0" applyProtection="0">
      <alignment vertical="center"/>
    </xf>
    <xf numFmtId="0" fontId="90" fillId="0" borderId="0"/>
    <xf numFmtId="0" fontId="91" fillId="0" borderId="0" applyNumberFormat="0" applyFill="0" applyBorder="0">
      <alignment horizontal="right"/>
    </xf>
    <xf numFmtId="0" fontId="87" fillId="0" borderId="10" applyNumberFormat="0" applyFont="0" applyFill="0" applyAlignment="0" applyProtection="0"/>
    <xf numFmtId="38" fontId="32" fillId="0" borderId="0">
      <alignment horizontal="right"/>
    </xf>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249" fontId="40" fillId="0" borderId="0" applyFont="0" applyFill="0" applyBorder="0" applyAlignment="0" applyProtection="0"/>
    <xf numFmtId="226" fontId="40" fillId="0" borderId="0" applyFont="0" applyFill="0" applyBorder="0" applyAlignment="0" applyProtection="0"/>
    <xf numFmtId="250" fontId="40" fillId="0" borderId="0" applyFont="0" applyFill="0" applyBorder="0" applyAlignment="0" applyProtection="0"/>
    <xf numFmtId="226" fontId="92" fillId="0" borderId="5"/>
    <xf numFmtId="251" fontId="40" fillId="0" borderId="0" applyFont="0" applyFill="0" applyBorder="0" applyAlignment="0" applyProtection="0"/>
    <xf numFmtId="252" fontId="40" fillId="0" borderId="0" applyFont="0" applyFill="0" applyBorder="0" applyAlignment="0" applyProtection="0"/>
    <xf numFmtId="38" fontId="71" fillId="0" borderId="0" applyFont="0" applyFill="0" applyBorder="0" applyAlignment="0" applyProtection="0"/>
    <xf numFmtId="37" fontId="40"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253" fontId="2" fillId="0" borderId="0" applyFont="0" applyFill="0" applyBorder="0" applyAlignment="0" applyProtection="0">
      <alignment horizontal="right"/>
    </xf>
    <xf numFmtId="173" fontId="2" fillId="0" borderId="0" applyFill="0" applyBorder="0" applyProtection="0">
      <alignment vertical="center"/>
    </xf>
    <xf numFmtId="254" fontId="40" fillId="0" borderId="0" applyFont="0" applyFill="0" applyBorder="0" applyAlignment="0" applyProtection="0"/>
    <xf numFmtId="166" fontId="3" fillId="0" borderId="0"/>
    <xf numFmtId="255" fontId="93" fillId="0" borderId="0"/>
    <xf numFmtId="0" fontId="40" fillId="0" borderId="0"/>
    <xf numFmtId="0" fontId="40" fillId="0" borderId="0"/>
    <xf numFmtId="180" fontId="22" fillId="0" borderId="0"/>
    <xf numFmtId="180" fontId="108" fillId="0" borderId="0"/>
    <xf numFmtId="169" fontId="2" fillId="0" borderId="0" applyFill="0" applyBorder="0" applyProtection="0">
      <alignment vertical="center"/>
    </xf>
    <xf numFmtId="0" fontId="94" fillId="0" borderId="0"/>
    <xf numFmtId="0" fontId="95" fillId="0" borderId="11"/>
    <xf numFmtId="37" fontId="40" fillId="0" borderId="0"/>
    <xf numFmtId="256" fontId="40" fillId="0" borderId="0" applyFont="0" applyFill="0" applyBorder="0" applyAlignment="0" applyProtection="0"/>
    <xf numFmtId="257" fontId="4" fillId="11" borderId="0" applyFont="0" applyFill="0" applyBorder="0" applyAlignment="0" applyProtection="0"/>
    <xf numFmtId="227" fontId="4" fillId="11" borderId="0" applyFont="0" applyFill="0" applyBorder="0" applyAlignment="0" applyProtection="0"/>
    <xf numFmtId="258" fontId="40" fillId="0" borderId="0" applyFont="0" applyFill="0" applyBorder="0" applyAlignment="0" applyProtection="0"/>
    <xf numFmtId="0" fontId="11" fillId="0" borderId="0"/>
    <xf numFmtId="166" fontId="70" fillId="0" borderId="0"/>
    <xf numFmtId="9" fontId="1" fillId="0" borderId="0" applyFont="0" applyFill="0" applyBorder="0" applyAlignment="0" applyProtection="0"/>
    <xf numFmtId="10" fontId="71" fillId="0" borderId="0" applyFont="0" applyFill="0" applyBorder="0" applyAlignment="0" applyProtection="0"/>
    <xf numFmtId="0" fontId="40" fillId="0" borderId="0" applyFont="0" applyFill="0" applyBorder="0" applyAlignment="0" applyProtection="0"/>
    <xf numFmtId="259" fontId="84" fillId="0" borderId="0" applyFont="0" applyFill="0" applyBorder="0" applyAlignment="0" applyProtection="0"/>
    <xf numFmtId="10" fontId="40" fillId="0" borderId="0" applyFont="0" applyFill="0" applyBorder="0" applyAlignment="0" applyProtection="0"/>
    <xf numFmtId="9" fontId="71" fillId="0" borderId="0" applyFont="0" applyFill="0" applyBorder="0" applyAlignment="0" applyProtection="0"/>
    <xf numFmtId="170" fontId="2" fillId="0" borderId="0" applyFill="0" applyBorder="0" applyProtection="0">
      <alignment vertical="center"/>
    </xf>
    <xf numFmtId="10" fontId="96" fillId="0" borderId="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40" fillId="0" borderId="0" applyFill="0" applyBorder="0" applyAlignment="0"/>
    <xf numFmtId="0" fontId="97" fillId="6" borderId="0"/>
    <xf numFmtId="258" fontId="83" fillId="0" borderId="0" applyNumberFormat="0"/>
    <xf numFmtId="0" fontId="87" fillId="0" borderId="12" applyNumberFormat="0" applyFont="0" applyFill="0" applyAlignment="0" applyProtection="0"/>
    <xf numFmtId="0" fontId="98" fillId="0" borderId="0" applyNumberFormat="0" applyFill="0" applyBorder="0" applyAlignment="0" applyProtection="0"/>
    <xf numFmtId="38" fontId="99" fillId="0" borderId="0">
      <alignment horizontal="center"/>
    </xf>
    <xf numFmtId="0" fontId="26" fillId="0" borderId="0"/>
    <xf numFmtId="0" fontId="100" fillId="0" borderId="13"/>
    <xf numFmtId="260" fontId="101" fillId="0" borderId="0" applyFont="0" applyFill="0" applyBorder="0" applyAlignment="0" applyProtection="0"/>
    <xf numFmtId="0" fontId="94" fillId="0" borderId="0"/>
    <xf numFmtId="239" fontId="102" fillId="0" borderId="0" applyFont="0" applyFill="0" applyBorder="0" applyAlignment="0" applyProtection="0"/>
    <xf numFmtId="0" fontId="4" fillId="0" borderId="0">
      <alignment vertical="top"/>
    </xf>
    <xf numFmtId="9" fontId="40" fillId="0" borderId="0" applyFont="0" applyFill="0" applyBorder="0" applyAlignment="0" applyProtection="0"/>
    <xf numFmtId="9" fontId="40" fillId="0" borderId="0" applyFont="0" applyFill="0" applyBorder="0" applyAlignment="0" applyProtection="0"/>
    <xf numFmtId="0" fontId="66" fillId="0" borderId="0" applyNumberFormat="0" applyBorder="0" applyAlignment="0"/>
    <xf numFmtId="0" fontId="67" fillId="0" borderId="0" applyNumberFormat="0" applyBorder="0" applyAlignment="0"/>
    <xf numFmtId="0" fontId="68" fillId="0" borderId="0" applyNumberFormat="0" applyBorder="0" applyAlignment="0"/>
    <xf numFmtId="0" fontId="69" fillId="0" borderId="0" applyNumberFormat="0" applyBorder="0" applyAlignment="0"/>
    <xf numFmtId="0" fontId="24" fillId="0" borderId="0"/>
    <xf numFmtId="0" fontId="12" fillId="0" borderId="0" applyFill="0" applyBorder="0" applyProtection="0">
      <alignment horizontal="center" vertical="center"/>
    </xf>
    <xf numFmtId="246" fontId="103" fillId="0" borderId="4" applyBorder="0" applyProtection="0">
      <alignment horizontal="right" vertical="center"/>
    </xf>
    <xf numFmtId="0" fontId="104" fillId="12" borderId="0" applyBorder="0" applyProtection="0">
      <alignment horizontal="centerContinuous" vertical="center"/>
    </xf>
    <xf numFmtId="0" fontId="104" fillId="13" borderId="4" applyBorder="0" applyProtection="0">
      <alignment horizontal="centerContinuous" vertical="center"/>
    </xf>
    <xf numFmtId="0" fontId="103" fillId="0" borderId="0" applyBorder="0" applyProtection="0">
      <alignment vertical="center"/>
    </xf>
    <xf numFmtId="0" fontId="13" fillId="0" borderId="0" applyFill="0" applyBorder="0" applyProtection="0">
      <alignment vertical="center"/>
    </xf>
    <xf numFmtId="0" fontId="14" fillId="0" borderId="0" applyFill="0" applyBorder="0" applyProtection="0"/>
    <xf numFmtId="0" fontId="5" fillId="0" borderId="10" applyFill="0" applyBorder="0" applyProtection="0">
      <alignment vertical="top"/>
    </xf>
    <xf numFmtId="0" fontId="87" fillId="4" borderId="0" applyNumberFormat="0" applyFont="0" applyBorder="0" applyAlignment="0" applyProtection="0"/>
    <xf numFmtId="257" fontId="105" fillId="0" borderId="8" applyNumberFormat="0" applyFont="0" applyFill="0" applyAlignment="0" applyProtection="0"/>
    <xf numFmtId="0" fontId="15" fillId="0" borderId="10" applyFill="0" applyBorder="0" applyProtection="0"/>
    <xf numFmtId="0" fontId="16" fillId="0" borderId="0" applyFill="0" applyBorder="0" applyProtection="0"/>
    <xf numFmtId="49" fontId="66" fillId="0" borderId="0" applyFill="0" applyBorder="0" applyAlignment="0"/>
    <xf numFmtId="0" fontId="40" fillId="0" borderId="0" applyFill="0" applyBorder="0" applyAlignment="0"/>
    <xf numFmtId="0" fontId="40" fillId="0" borderId="0" applyFill="0" applyBorder="0" applyAlignment="0"/>
    <xf numFmtId="40" fontId="106" fillId="0" borderId="0"/>
    <xf numFmtId="37" fontId="34" fillId="0" borderId="0" applyNumberFormat="0">
      <alignment horizontal="center"/>
    </xf>
    <xf numFmtId="0" fontId="40" fillId="0" borderId="14" applyNumberFormat="0" applyFont="0" applyFill="0" applyAlignment="0" applyProtection="0"/>
    <xf numFmtId="172" fontId="17" fillId="0" borderId="0" applyFill="0" applyBorder="0" applyProtection="0">
      <alignment vertical="center"/>
    </xf>
    <xf numFmtId="171" fontId="17" fillId="0" borderId="7" applyFill="0" applyBorder="0" applyProtection="0">
      <alignment vertical="center"/>
    </xf>
    <xf numFmtId="38" fontId="32" fillId="0" borderId="15">
      <alignment horizontal="right"/>
    </xf>
    <xf numFmtId="37" fontId="35" fillId="0" borderId="4">
      <alignment horizontal="center"/>
    </xf>
    <xf numFmtId="5" fontId="83" fillId="0" borderId="0" applyNumberFormat="0"/>
    <xf numFmtId="0" fontId="107" fillId="0" borderId="0" applyNumberFormat="0" applyFill="0" applyBorder="0" applyAlignment="0" applyProtection="0"/>
    <xf numFmtId="42" fontId="66" fillId="0" borderId="0" applyFont="0" applyFill="0" applyBorder="0" applyAlignment="0" applyProtection="0"/>
    <xf numFmtId="44" fontId="66" fillId="0" borderId="0" applyFont="0" applyFill="0" applyBorder="0" applyAlignment="0" applyProtection="0"/>
    <xf numFmtId="14" fontId="36" fillId="0" borderId="0" applyFont="0" applyFill="0" applyBorder="0" applyProtection="0"/>
    <xf numFmtId="261" fontId="19" fillId="4" borderId="16" applyFont="0" applyFill="0" applyBorder="0" applyAlignment="0" applyProtection="0"/>
    <xf numFmtId="261" fontId="36" fillId="0" borderId="0" applyFont="0" applyFill="0" applyBorder="0" applyAlignment="0" applyProtection="0"/>
    <xf numFmtId="262" fontId="84" fillId="0" borderId="0" applyFont="0" applyFill="0" applyBorder="0" applyAlignment="0" applyProtection="0"/>
    <xf numFmtId="263" fontId="34" fillId="0" borderId="8" applyFont="0" applyFill="0" applyBorder="0" applyAlignment="0" applyProtection="0">
      <alignment horizontal="right"/>
      <protection locked="0"/>
    </xf>
  </cellStyleXfs>
  <cellXfs count="753">
    <xf numFmtId="0" fontId="0" fillId="0" borderId="0" xfId="0"/>
    <xf numFmtId="0" fontId="18" fillId="0" borderId="0" xfId="1" applyFont="1"/>
    <xf numFmtId="0" fontId="18" fillId="0" borderId="0" xfId="1" applyFont="1" applyAlignment="1">
      <alignment horizontal="right"/>
    </xf>
    <xf numFmtId="0" fontId="18" fillId="0" borderId="0" xfId="1" applyFont="1" applyAlignment="1">
      <alignment horizontal="left"/>
    </xf>
    <xf numFmtId="180" fontId="21" fillId="0" borderId="0" xfId="161" applyFont="1"/>
    <xf numFmtId="180" fontId="23" fillId="0" borderId="0" xfId="161" applyFont="1" applyAlignment="1">
      <alignment horizontal="left"/>
    </xf>
    <xf numFmtId="180" fontId="21" fillId="0" borderId="0" xfId="161" applyFont="1" applyAlignment="1">
      <alignment horizontal="centerContinuous"/>
    </xf>
    <xf numFmtId="180" fontId="25" fillId="0" borderId="0" xfId="161" applyFont="1"/>
    <xf numFmtId="180" fontId="25" fillId="0" borderId="0" xfId="161" applyFont="1" applyAlignment="1">
      <alignment horizontal="centerContinuous"/>
    </xf>
    <xf numFmtId="180" fontId="26" fillId="0" borderId="17" xfId="161" applyFont="1" applyBorder="1" applyAlignment="1">
      <alignment horizontal="center"/>
    </xf>
    <xf numFmtId="180" fontId="26" fillId="0" borderId="14" xfId="161" applyFont="1" applyBorder="1" applyAlignment="1">
      <alignment horizontal="center"/>
    </xf>
    <xf numFmtId="14" fontId="26" fillId="0" borderId="18" xfId="161" applyNumberFormat="1" applyFont="1" applyBorder="1"/>
    <xf numFmtId="0" fontId="33" fillId="0" borderId="0" xfId="68" applyNumberFormat="1" applyFont="1" applyBorder="1" applyAlignment="1"/>
    <xf numFmtId="0" fontId="32" fillId="0" borderId="0" xfId="1" applyFont="1"/>
    <xf numFmtId="0" fontId="32" fillId="0" borderId="0" xfId="1" applyFont="1" applyAlignment="1">
      <alignment horizontal="left"/>
    </xf>
    <xf numFmtId="0" fontId="32" fillId="0" borderId="0" xfId="1" applyFont="1" applyAlignment="1">
      <alignment horizontal="right"/>
    </xf>
    <xf numFmtId="0" fontId="34" fillId="0" borderId="0" xfId="68" applyNumberFormat="1" applyFont="1" applyBorder="1" applyAlignment="1"/>
    <xf numFmtId="0" fontId="35" fillId="0" borderId="0" xfId="68" applyNumberFormat="1" applyFont="1" applyBorder="1" applyAlignment="1">
      <alignment horizontal="left"/>
    </xf>
    <xf numFmtId="3" fontId="36" fillId="0" borderId="0" xfId="1" applyNumberFormat="1"/>
    <xf numFmtId="165" fontId="0" fillId="0" borderId="0" xfId="1" applyNumberFormat="1" applyFont="1"/>
    <xf numFmtId="0" fontId="0" fillId="11" borderId="0" xfId="1" applyFont="1" applyFill="1"/>
    <xf numFmtId="0" fontId="34" fillId="11" borderId="0" xfId="1" applyFont="1" applyFill="1"/>
    <xf numFmtId="0" fontId="0" fillId="11" borderId="0" xfId="1" applyFont="1" applyFill="1" applyAlignment="1">
      <alignment horizontal="center"/>
    </xf>
    <xf numFmtId="165" fontId="0" fillId="0" borderId="0" xfId="1" applyNumberFormat="1" applyFont="1" applyAlignment="1">
      <alignment horizontal="left" indent="1"/>
    </xf>
    <xf numFmtId="186" fontId="36" fillId="0" borderId="0" xfId="68" applyNumberFormat="1" applyFont="1" applyBorder="1"/>
    <xf numFmtId="186" fontId="36" fillId="0" borderId="0" xfId="68" applyNumberFormat="1" applyFont="1" applyBorder="1" applyAlignment="1">
      <alignment horizontal="right"/>
    </xf>
    <xf numFmtId="0" fontId="33" fillId="11" borderId="0" xfId="1" applyFont="1" applyFill="1"/>
    <xf numFmtId="180" fontId="36" fillId="0" borderId="0" xfId="161" applyFont="1" applyAlignment="1">
      <alignment horizontal="left"/>
    </xf>
    <xf numFmtId="180" fontId="36" fillId="0" borderId="0" xfId="161" applyFont="1"/>
    <xf numFmtId="0" fontId="38" fillId="11" borderId="0" xfId="1" applyFont="1" applyFill="1"/>
    <xf numFmtId="180" fontId="36" fillId="0" borderId="14" xfId="161" applyFont="1" applyBorder="1" applyAlignment="1">
      <alignment horizontal="center"/>
    </xf>
    <xf numFmtId="186" fontId="36" fillId="0" borderId="0" xfId="68" applyNumberFormat="1" applyFont="1" applyBorder="1" applyAlignment="1" applyProtection="1">
      <alignment horizontal="center"/>
    </xf>
    <xf numFmtId="165" fontId="36" fillId="0" borderId="0" xfId="161" applyNumberFormat="1" applyFont="1"/>
    <xf numFmtId="180" fontId="26" fillId="11" borderId="0" xfId="161" applyFont="1" applyFill="1"/>
    <xf numFmtId="180" fontId="26" fillId="11" borderId="0" xfId="161" applyFont="1" applyFill="1" applyAlignment="1">
      <alignment horizontal="left"/>
    </xf>
    <xf numFmtId="0" fontId="42" fillId="11" borderId="0" xfId="1" applyFont="1" applyFill="1"/>
    <xf numFmtId="0" fontId="34" fillId="11" borderId="0" xfId="1" applyFont="1" applyFill="1" applyAlignment="1">
      <alignment horizontal="left" vertical="top"/>
    </xf>
    <xf numFmtId="190" fontId="36" fillId="11" borderId="0" xfId="68" applyNumberFormat="1" applyFont="1" applyFill="1" applyBorder="1" applyProtection="1"/>
    <xf numFmtId="190" fontId="29" fillId="11" borderId="0" xfId="68" applyNumberFormat="1" applyFont="1" applyFill="1" applyBorder="1" applyProtection="1"/>
    <xf numFmtId="190" fontId="31" fillId="11" borderId="0" xfId="68" applyNumberFormat="1" applyFont="1" applyFill="1" applyBorder="1" applyProtection="1"/>
    <xf numFmtId="190" fontId="36" fillId="0" borderId="0" xfId="68" applyNumberFormat="1" applyFont="1" applyBorder="1" applyProtection="1"/>
    <xf numFmtId="190" fontId="36" fillId="0" borderId="0" xfId="68" applyNumberFormat="1" applyFont="1" applyBorder="1"/>
    <xf numFmtId="190" fontId="36" fillId="0" borderId="0" xfId="68" applyNumberFormat="1" applyFont="1" applyBorder="1" applyProtection="1">
      <protection locked="0"/>
    </xf>
    <xf numFmtId="190" fontId="36" fillId="0" borderId="4" xfId="68" applyNumberFormat="1" applyFont="1" applyBorder="1"/>
    <xf numFmtId="190" fontId="34" fillId="0" borderId="0" xfId="68" applyNumberFormat="1" applyFont="1" applyBorder="1" applyProtection="1"/>
    <xf numFmtId="0" fontId="40" fillId="11" borderId="0" xfId="1" applyFont="1" applyFill="1"/>
    <xf numFmtId="0" fontId="43" fillId="11" borderId="0" xfId="1" applyFont="1" applyFill="1" applyAlignment="1">
      <alignment horizontal="left"/>
    </xf>
    <xf numFmtId="10" fontId="20" fillId="11" borderId="0" xfId="1" applyNumberFormat="1" applyFont="1" applyFill="1" applyAlignment="1">
      <alignment horizontal="center"/>
    </xf>
    <xf numFmtId="191" fontId="20" fillId="11" borderId="0" xfId="1" applyNumberFormat="1" applyFont="1" applyFill="1" applyAlignment="1">
      <alignment horizontal="center"/>
    </xf>
    <xf numFmtId="10" fontId="18" fillId="11" borderId="0" xfId="173" applyNumberFormat="1" applyFont="1" applyFill="1" applyBorder="1" applyAlignment="1">
      <alignment horizontal="center"/>
    </xf>
    <xf numFmtId="192" fontId="19" fillId="11" borderId="0" xfId="1" quotePrefix="1" applyNumberFormat="1" applyFont="1" applyFill="1" applyAlignment="1">
      <alignment horizontal="left"/>
    </xf>
    <xf numFmtId="0" fontId="44" fillId="11" borderId="0" xfId="1" applyFont="1" applyFill="1"/>
    <xf numFmtId="0" fontId="45" fillId="11" borderId="0" xfId="1" applyFont="1" applyFill="1"/>
    <xf numFmtId="0" fontId="46" fillId="11" borderId="0" xfId="1" applyFont="1" applyFill="1"/>
    <xf numFmtId="193" fontId="40" fillId="11" borderId="0" xfId="1" applyNumberFormat="1" applyFont="1" applyFill="1" applyAlignment="1">
      <alignment horizontal="right"/>
    </xf>
    <xf numFmtId="0" fontId="39" fillId="11" borderId="19" xfId="1" applyFont="1" applyFill="1" applyBorder="1"/>
    <xf numFmtId="0" fontId="40" fillId="11" borderId="20" xfId="1" applyFont="1" applyFill="1" applyBorder="1"/>
    <xf numFmtId="0" fontId="39" fillId="11" borderId="20" xfId="1" applyFont="1" applyFill="1" applyBorder="1" applyAlignment="1">
      <alignment horizontal="center"/>
    </xf>
    <xf numFmtId="0" fontId="39" fillId="11" borderId="21" xfId="1" applyFont="1" applyFill="1" applyBorder="1" applyAlignment="1">
      <alignment horizontal="center"/>
    </xf>
    <xf numFmtId="0" fontId="39" fillId="11" borderId="22" xfId="1" applyFont="1" applyFill="1" applyBorder="1" applyAlignment="1">
      <alignment horizontal="centerContinuous"/>
    </xf>
    <xf numFmtId="0" fontId="40" fillId="11" borderId="23" xfId="1" applyFont="1" applyFill="1" applyBorder="1" applyAlignment="1">
      <alignment horizontal="centerContinuous"/>
    </xf>
    <xf numFmtId="0" fontId="40" fillId="11" borderId="24" xfId="1" applyFont="1" applyFill="1" applyBorder="1" applyAlignment="1">
      <alignment horizontal="centerContinuous"/>
    </xf>
    <xf numFmtId="0" fontId="47" fillId="11" borderId="10" xfId="1" applyFont="1" applyFill="1" applyBorder="1"/>
    <xf numFmtId="0" fontId="40" fillId="11" borderId="12" xfId="1" applyFont="1" applyFill="1" applyBorder="1"/>
    <xf numFmtId="0" fontId="39" fillId="11" borderId="25" xfId="1" applyFont="1" applyFill="1" applyBorder="1" applyAlignment="1">
      <alignment horizontal="centerContinuous"/>
    </xf>
    <xf numFmtId="0" fontId="40" fillId="11" borderId="0" xfId="1" applyFont="1" applyFill="1" applyAlignment="1">
      <alignment horizontal="centerContinuous"/>
    </xf>
    <xf numFmtId="194" fontId="48" fillId="11" borderId="0" xfId="1" applyNumberFormat="1" applyFont="1" applyFill="1" applyAlignment="1">
      <alignment horizontal="centerContinuous"/>
    </xf>
    <xf numFmtId="195" fontId="48" fillId="11" borderId="26" xfId="1" applyNumberFormat="1" applyFont="1" applyFill="1" applyBorder="1" applyAlignment="1">
      <alignment horizontal="centerContinuous"/>
    </xf>
    <xf numFmtId="0" fontId="40" fillId="11" borderId="10" xfId="1" applyFont="1" applyFill="1" applyBorder="1"/>
    <xf numFmtId="193" fontId="48" fillId="11" borderId="12" xfId="1" applyNumberFormat="1" applyFont="1" applyFill="1" applyBorder="1" applyAlignment="1">
      <alignment horizontal="right"/>
    </xf>
    <xf numFmtId="0" fontId="49" fillId="11" borderId="27" xfId="1" applyFont="1" applyFill="1" applyBorder="1"/>
    <xf numFmtId="0" fontId="46" fillId="11" borderId="14" xfId="1" applyFont="1" applyFill="1" applyBorder="1"/>
    <xf numFmtId="0" fontId="46" fillId="11" borderId="28" xfId="1" applyFont="1" applyFill="1" applyBorder="1"/>
    <xf numFmtId="0" fontId="40" fillId="11" borderId="25" xfId="1" applyFont="1" applyFill="1" applyBorder="1"/>
    <xf numFmtId="14" fontId="50" fillId="11" borderId="0" xfId="1" applyNumberFormat="1" applyFont="1" applyFill="1" applyAlignment="1">
      <alignment horizontal="center"/>
    </xf>
    <xf numFmtId="0" fontId="49" fillId="11" borderId="10" xfId="1" applyFont="1" applyFill="1" applyBorder="1"/>
    <xf numFmtId="0" fontId="46" fillId="11" borderId="12" xfId="1" applyFont="1" applyFill="1" applyBorder="1"/>
    <xf numFmtId="195" fontId="40" fillId="11" borderId="0" xfId="1" applyNumberFormat="1" applyFont="1" applyFill="1"/>
    <xf numFmtId="0" fontId="49" fillId="11" borderId="29" xfId="1" applyFont="1" applyFill="1" applyBorder="1"/>
    <xf numFmtId="0" fontId="46" fillId="11" borderId="30" xfId="1" applyFont="1" applyFill="1" applyBorder="1"/>
    <xf numFmtId="0" fontId="49" fillId="11" borderId="30" xfId="1" applyFont="1" applyFill="1" applyBorder="1"/>
    <xf numFmtId="0" fontId="46" fillId="11" borderId="31" xfId="1" applyFont="1" applyFill="1" applyBorder="1"/>
    <xf numFmtId="196" fontId="40" fillId="11" borderId="0" xfId="1" applyNumberFormat="1" applyFont="1" applyFill="1" applyAlignment="1">
      <alignment horizontal="right"/>
    </xf>
    <xf numFmtId="14" fontId="50" fillId="11" borderId="0" xfId="1" applyNumberFormat="1" applyFont="1" applyFill="1"/>
    <xf numFmtId="165" fontId="40" fillId="11" borderId="0" xfId="1" applyNumberFormat="1" applyFont="1" applyFill="1"/>
    <xf numFmtId="0" fontId="46" fillId="11" borderId="10" xfId="1" applyFont="1" applyFill="1" applyBorder="1"/>
    <xf numFmtId="193" fontId="48" fillId="11" borderId="0" xfId="1" applyNumberFormat="1" applyFont="1" applyFill="1" applyAlignment="1">
      <alignment horizontal="right"/>
    </xf>
    <xf numFmtId="193" fontId="51" fillId="11" borderId="32" xfId="1" applyNumberFormat="1" applyFont="1" applyFill="1" applyBorder="1"/>
    <xf numFmtId="0" fontId="40" fillId="11" borderId="0" xfId="1" applyFont="1" applyFill="1" applyAlignment="1">
      <alignment wrapText="1"/>
    </xf>
    <xf numFmtId="0" fontId="39" fillId="11" borderId="33" xfId="1" applyFont="1" applyFill="1" applyBorder="1"/>
    <xf numFmtId="0" fontId="39" fillId="11" borderId="34" xfId="1" applyFont="1" applyFill="1" applyBorder="1"/>
    <xf numFmtId="193" fontId="39" fillId="11" borderId="35" xfId="1" applyNumberFormat="1" applyFont="1" applyFill="1" applyBorder="1" applyAlignment="1">
      <alignment horizontal="right"/>
    </xf>
    <xf numFmtId="0" fontId="52" fillId="11" borderId="0" xfId="1" applyFont="1" applyFill="1" applyAlignment="1">
      <alignment horizontal="left"/>
    </xf>
    <xf numFmtId="0" fontId="46" fillId="11" borderId="36" xfId="1" applyFont="1" applyFill="1" applyBorder="1"/>
    <xf numFmtId="193" fontId="48" fillId="11" borderId="37" xfId="1" applyNumberFormat="1" applyFont="1" applyFill="1" applyBorder="1" applyAlignment="1">
      <alignment horizontal="right"/>
    </xf>
    <xf numFmtId="0" fontId="46" fillId="11" borderId="37" xfId="1" applyFont="1" applyFill="1" applyBorder="1"/>
    <xf numFmtId="193" fontId="48" fillId="11" borderId="32" xfId="1" applyNumberFormat="1" applyFont="1" applyFill="1" applyBorder="1" applyAlignment="1">
      <alignment horizontal="right"/>
    </xf>
    <xf numFmtId="0" fontId="46" fillId="11" borderId="33" xfId="1" applyFont="1" applyFill="1" applyBorder="1"/>
    <xf numFmtId="193" fontId="46" fillId="11" borderId="34" xfId="1" applyNumberFormat="1" applyFont="1" applyFill="1" applyBorder="1"/>
    <xf numFmtId="0" fontId="46" fillId="11" borderId="34" xfId="1" applyFont="1" applyFill="1" applyBorder="1"/>
    <xf numFmtId="193" fontId="46" fillId="11" borderId="35" xfId="1" applyNumberFormat="1" applyFont="1" applyFill="1" applyBorder="1"/>
    <xf numFmtId="0" fontId="46" fillId="11" borderId="38" xfId="1" applyFont="1" applyFill="1" applyBorder="1"/>
    <xf numFmtId="193" fontId="50" fillId="11" borderId="4" xfId="1" applyNumberFormat="1" applyFont="1" applyFill="1" applyBorder="1"/>
    <xf numFmtId="0" fontId="49" fillId="11" borderId="39" xfId="1" applyFont="1" applyFill="1" applyBorder="1"/>
    <xf numFmtId="197" fontId="49" fillId="11" borderId="40" xfId="1" applyNumberFormat="1" applyFont="1" applyFill="1" applyBorder="1" applyAlignment="1">
      <alignment horizontal="right"/>
    </xf>
    <xf numFmtId="0" fontId="39" fillId="11" borderId="0" xfId="1" applyFont="1" applyFill="1"/>
    <xf numFmtId="0" fontId="40" fillId="11" borderId="41" xfId="1" applyFont="1" applyFill="1" applyBorder="1"/>
    <xf numFmtId="165" fontId="36" fillId="0" borderId="0" xfId="173" applyNumberFormat="1" applyFont="1" applyBorder="1" applyAlignment="1" applyProtection="1"/>
    <xf numFmtId="180" fontId="53" fillId="0" borderId="0" xfId="161" applyFont="1" applyAlignment="1">
      <alignment horizontal="left" indent="1"/>
    </xf>
    <xf numFmtId="43" fontId="36" fillId="0" borderId="0" xfId="68" applyFont="1" applyBorder="1"/>
    <xf numFmtId="43" fontId="36" fillId="0" borderId="0" xfId="68" applyFont="1" applyBorder="1" applyAlignment="1">
      <alignment horizontal="right"/>
    </xf>
    <xf numFmtId="198" fontId="36" fillId="0" borderId="0" xfId="68" applyNumberFormat="1" applyFont="1" applyBorder="1"/>
    <xf numFmtId="198" fontId="36" fillId="0" borderId="0" xfId="68" applyNumberFormat="1" applyFont="1" applyBorder="1" applyAlignment="1">
      <alignment horizontal="right"/>
    </xf>
    <xf numFmtId="186" fontId="34" fillId="0" borderId="0" xfId="68" applyNumberFormat="1" applyFont="1" applyBorder="1"/>
    <xf numFmtId="186" fontId="34" fillId="0" borderId="0" xfId="68" applyNumberFormat="1" applyFont="1" applyBorder="1" applyAlignment="1">
      <alignment horizontal="right"/>
    </xf>
    <xf numFmtId="165" fontId="36" fillId="0" borderId="0" xfId="173" applyNumberFormat="1" applyFont="1" applyBorder="1"/>
    <xf numFmtId="165" fontId="36" fillId="0" borderId="0" xfId="173" applyNumberFormat="1" applyFont="1" applyBorder="1" applyAlignment="1">
      <alignment horizontal="right"/>
    </xf>
    <xf numFmtId="0" fontId="39" fillId="11" borderId="0" xfId="1" applyFont="1" applyFill="1" applyAlignment="1">
      <alignment horizontal="center"/>
    </xf>
    <xf numFmtId="17" fontId="40" fillId="11" borderId="0" xfId="1" quotePrefix="1" applyNumberFormat="1" applyFont="1" applyFill="1" applyAlignment="1">
      <alignment horizontal="center"/>
    </xf>
    <xf numFmtId="9" fontId="40" fillId="11" borderId="0" xfId="173" applyFont="1" applyFill="1" applyBorder="1" applyAlignment="1">
      <alignment horizontal="right"/>
    </xf>
    <xf numFmtId="181" fontId="36" fillId="0" borderId="0" xfId="161" applyNumberFormat="1" applyFont="1" applyAlignment="1">
      <alignment horizontal="center"/>
    </xf>
    <xf numFmtId="186" fontId="36" fillId="0" borderId="0" xfId="68" applyNumberFormat="1" applyFont="1" applyBorder="1" applyProtection="1"/>
    <xf numFmtId="181" fontId="36" fillId="0" borderId="0" xfId="161" applyNumberFormat="1" applyFont="1"/>
    <xf numFmtId="14" fontId="36" fillId="0" borderId="4" xfId="161" applyNumberFormat="1" applyFont="1" applyBorder="1" applyAlignment="1">
      <alignment horizontal="center"/>
    </xf>
    <xf numFmtId="0" fontId="29" fillId="11" borderId="0" xfId="1" applyFont="1" applyFill="1"/>
    <xf numFmtId="165" fontId="41" fillId="11" borderId="0" xfId="173" applyNumberFormat="1" applyFont="1" applyFill="1"/>
    <xf numFmtId="165" fontId="40" fillId="11" borderId="0" xfId="173" applyNumberFormat="1" applyFont="1" applyFill="1"/>
    <xf numFmtId="2" fontId="18" fillId="0" borderId="0" xfId="1" applyNumberFormat="1" applyFont="1" applyAlignment="1">
      <alignment horizontal="left"/>
    </xf>
    <xf numFmtId="14" fontId="36" fillId="0" borderId="0" xfId="161" applyNumberFormat="1" applyFont="1"/>
    <xf numFmtId="3" fontId="34" fillId="0" borderId="0" xfId="1" applyNumberFormat="1" applyFont="1"/>
    <xf numFmtId="3" fontId="36" fillId="0" borderId="0" xfId="1" applyNumberFormat="1" applyAlignment="1">
      <alignment horizontal="left" indent="1"/>
    </xf>
    <xf numFmtId="3" fontId="36" fillId="0" borderId="0" xfId="1" applyNumberFormat="1" applyAlignment="1">
      <alignment horizontal="left" indent="2"/>
    </xf>
    <xf numFmtId="2" fontId="18" fillId="0" borderId="0" xfId="1" applyNumberFormat="1" applyFont="1"/>
    <xf numFmtId="0" fontId="36" fillId="0" borderId="0" xfId="173" applyNumberFormat="1" applyFont="1" applyBorder="1"/>
    <xf numFmtId="190" fontId="36" fillId="0" borderId="0" xfId="68" applyNumberFormat="1" applyFont="1" applyBorder="1" applyAlignment="1">
      <alignment horizontal="right"/>
    </xf>
    <xf numFmtId="190" fontId="36" fillId="0" borderId="4" xfId="68" applyNumberFormat="1" applyFont="1" applyBorder="1" applyAlignment="1">
      <alignment horizontal="right"/>
    </xf>
    <xf numFmtId="0" fontId="34" fillId="11" borderId="42" xfId="1" applyFont="1" applyFill="1" applyBorder="1" applyAlignment="1">
      <alignment horizontal="center"/>
    </xf>
    <xf numFmtId="200" fontId="0" fillId="11" borderId="0" xfId="1" applyNumberFormat="1" applyFont="1" applyFill="1" applyAlignment="1">
      <alignment horizontal="left"/>
    </xf>
    <xf numFmtId="17" fontId="0" fillId="11" borderId="0" xfId="1" applyNumberFormat="1" applyFont="1" applyFill="1" applyAlignment="1">
      <alignment horizontal="left"/>
    </xf>
    <xf numFmtId="167" fontId="0" fillId="11" borderId="0" xfId="1" applyNumberFormat="1" applyFont="1" applyFill="1" applyAlignment="1">
      <alignment horizontal="center"/>
    </xf>
    <xf numFmtId="167" fontId="34" fillId="11" borderId="43" xfId="1" applyNumberFormat="1" applyFont="1" applyFill="1" applyBorder="1" applyAlignment="1">
      <alignment horizontal="center"/>
    </xf>
    <xf numFmtId="0" fontId="40" fillId="11" borderId="0" xfId="1" applyFont="1" applyFill="1" applyAlignment="1">
      <alignment horizontal="left"/>
    </xf>
    <xf numFmtId="194" fontId="48" fillId="11" borderId="0" xfId="1" applyNumberFormat="1" applyFont="1" applyFill="1" applyAlignment="1">
      <alignment horizontal="right"/>
    </xf>
    <xf numFmtId="0" fontId="24" fillId="0" borderId="0" xfId="161" applyNumberFormat="1" applyFont="1"/>
    <xf numFmtId="0" fontId="25" fillId="0" borderId="0" xfId="161" applyNumberFormat="1" applyFont="1"/>
    <xf numFmtId="190" fontId="36" fillId="11" borderId="11" xfId="68" applyNumberFormat="1" applyFont="1" applyFill="1" applyBorder="1" applyProtection="1"/>
    <xf numFmtId="194" fontId="48" fillId="11" borderId="0" xfId="1" applyNumberFormat="1" applyFont="1" applyFill="1"/>
    <xf numFmtId="0" fontId="40" fillId="11" borderId="44" xfId="1" applyFont="1" applyFill="1" applyBorder="1"/>
    <xf numFmtId="0" fontId="40" fillId="11" borderId="37" xfId="1" applyFont="1" applyFill="1" applyBorder="1" applyAlignment="1">
      <alignment horizontal="left"/>
    </xf>
    <xf numFmtId="194" fontId="48" fillId="11" borderId="37" xfId="1" applyNumberFormat="1" applyFont="1" applyFill="1" applyBorder="1" applyAlignment="1">
      <alignment horizontal="right"/>
    </xf>
    <xf numFmtId="195" fontId="48" fillId="11" borderId="0" xfId="1" applyNumberFormat="1" applyFont="1" applyFill="1" applyAlignment="1">
      <alignment horizontal="right"/>
    </xf>
    <xf numFmtId="0" fontId="40" fillId="11" borderId="45" xfId="1" applyFont="1" applyFill="1" applyBorder="1"/>
    <xf numFmtId="0" fontId="40" fillId="11" borderId="46" xfId="1" applyFont="1" applyFill="1" applyBorder="1" applyAlignment="1">
      <alignment horizontal="left"/>
    </xf>
    <xf numFmtId="194" fontId="48" fillId="11" borderId="46" xfId="1" applyNumberFormat="1" applyFont="1" applyFill="1" applyBorder="1" applyAlignment="1">
      <alignment horizontal="right"/>
    </xf>
    <xf numFmtId="195" fontId="48" fillId="11" borderId="47" xfId="1" applyNumberFormat="1" applyFont="1" applyFill="1" applyBorder="1" applyAlignment="1">
      <alignment horizontal="right"/>
    </xf>
    <xf numFmtId="165" fontId="48" fillId="11" borderId="26" xfId="173" applyNumberFormat="1" applyFont="1" applyFill="1" applyBorder="1" applyAlignment="1"/>
    <xf numFmtId="165" fontId="48" fillId="11" borderId="26" xfId="173" applyNumberFormat="1" applyFont="1" applyFill="1" applyBorder="1" applyAlignment="1">
      <alignment horizontal="right"/>
    </xf>
    <xf numFmtId="165" fontId="48" fillId="11" borderId="48" xfId="173" applyNumberFormat="1" applyFont="1" applyFill="1" applyBorder="1" applyAlignment="1">
      <alignment horizontal="right"/>
    </xf>
    <xf numFmtId="0" fontId="36" fillId="11" borderId="0" xfId="1" applyFill="1"/>
    <xf numFmtId="0" fontId="36" fillId="11" borderId="27" xfId="1" applyFill="1" applyBorder="1" applyAlignment="1">
      <alignment horizontal="center"/>
    </xf>
    <xf numFmtId="0" fontId="36" fillId="11" borderId="17" xfId="1" applyFill="1" applyBorder="1" applyAlignment="1">
      <alignment horizontal="center"/>
    </xf>
    <xf numFmtId="0" fontId="36" fillId="11" borderId="14" xfId="1" applyFill="1" applyBorder="1" applyAlignment="1">
      <alignment horizontal="center"/>
    </xf>
    <xf numFmtId="165" fontId="29" fillId="11" borderId="0" xfId="1" applyNumberFormat="1" applyFont="1" applyFill="1"/>
    <xf numFmtId="0" fontId="31" fillId="11" borderId="0" xfId="1" applyFont="1" applyFill="1"/>
    <xf numFmtId="180" fontId="36" fillId="0" borderId="0" xfId="161" applyFont="1" applyAlignment="1">
      <alignment horizontal="centerContinuous"/>
    </xf>
    <xf numFmtId="0" fontId="36" fillId="0" borderId="0" xfId="1"/>
    <xf numFmtId="180" fontId="28" fillId="0" borderId="0" xfId="161" quotePrefix="1" applyFont="1" applyAlignment="1">
      <alignment horizontal="left"/>
    </xf>
    <xf numFmtId="180" fontId="31" fillId="0" borderId="0" xfId="161" applyFont="1" applyAlignment="1">
      <alignment horizontal="left"/>
    </xf>
    <xf numFmtId="190" fontId="36" fillId="11" borderId="12" xfId="68" applyNumberFormat="1" applyFont="1" applyFill="1" applyBorder="1" applyProtection="1"/>
    <xf numFmtId="180" fontId="29" fillId="0" borderId="0" xfId="161" applyFont="1" applyAlignment="1">
      <alignment horizontal="left"/>
    </xf>
    <xf numFmtId="0" fontId="9" fillId="11" borderId="0" xfId="1" applyFont="1" applyFill="1"/>
    <xf numFmtId="190" fontId="36" fillId="0" borderId="11" xfId="68" applyNumberFormat="1" applyFont="1" applyBorder="1" applyProtection="1">
      <protection locked="0"/>
    </xf>
    <xf numFmtId="190" fontId="31" fillId="11" borderId="11" xfId="68" applyNumberFormat="1" applyFont="1" applyFill="1" applyBorder="1" applyProtection="1"/>
    <xf numFmtId="180" fontId="24" fillId="0" borderId="0" xfId="161" applyFont="1"/>
    <xf numFmtId="180" fontId="24" fillId="0" borderId="0" xfId="161" applyFont="1" applyAlignment="1">
      <alignment horizontal="centerContinuous"/>
    </xf>
    <xf numFmtId="180" fontId="25" fillId="0" borderId="0" xfId="161" quotePrefix="1" applyFont="1" applyAlignment="1">
      <alignment horizontal="left"/>
    </xf>
    <xf numFmtId="180" fontId="0" fillId="0" borderId="0" xfId="161" applyFont="1"/>
    <xf numFmtId="180" fontId="0" fillId="0" borderId="0" xfId="161" applyFont="1" applyAlignment="1">
      <alignment horizontal="center"/>
    </xf>
    <xf numFmtId="0" fontId="0" fillId="0" borderId="0" xfId="1" applyFont="1" applyAlignment="1">
      <alignment horizontal="center"/>
    </xf>
    <xf numFmtId="14" fontId="0" fillId="0" borderId="0" xfId="161" applyNumberFormat="1" applyFont="1"/>
    <xf numFmtId="5" fontId="27" fillId="0" borderId="0" xfId="161" applyNumberFormat="1" applyFont="1"/>
    <xf numFmtId="5" fontId="27" fillId="0" borderId="0" xfId="161" applyNumberFormat="1" applyFont="1" applyAlignment="1">
      <alignment horizontal="left"/>
    </xf>
    <xf numFmtId="180" fontId="26" fillId="0" borderId="0" xfId="161" applyFont="1"/>
    <xf numFmtId="180" fontId="26" fillId="0" borderId="0" xfId="161" applyFont="1" applyAlignment="1">
      <alignment horizontal="left"/>
    </xf>
    <xf numFmtId="165" fontId="26" fillId="0" borderId="0" xfId="161" applyNumberFormat="1" applyFont="1" applyAlignment="1" applyProtection="1">
      <alignment horizontal="right"/>
      <protection locked="0"/>
    </xf>
    <xf numFmtId="180" fontId="27" fillId="0" borderId="0" xfId="161" applyFont="1" applyAlignment="1">
      <alignment horizontal="left"/>
    </xf>
    <xf numFmtId="165" fontId="36" fillId="0" borderId="11" xfId="161" applyNumberFormat="1" applyFont="1" applyBorder="1"/>
    <xf numFmtId="164" fontId="26" fillId="0" borderId="0" xfId="161" applyNumberFormat="1" applyFont="1"/>
    <xf numFmtId="180" fontId="27" fillId="0" borderId="0" xfId="161" applyFont="1"/>
    <xf numFmtId="164" fontId="27" fillId="0" borderId="0" xfId="161" applyNumberFormat="1" applyFont="1"/>
    <xf numFmtId="165" fontId="26" fillId="0" borderId="0" xfId="161" applyNumberFormat="1" applyFont="1"/>
    <xf numFmtId="165" fontId="26" fillId="0" borderId="0" xfId="173" applyNumberFormat="1" applyFont="1"/>
    <xf numFmtId="180" fontId="26" fillId="0" borderId="12" xfId="161" applyFont="1" applyBorder="1"/>
    <xf numFmtId="180" fontId="30" fillId="0" borderId="0" xfId="161" applyFont="1" applyAlignment="1">
      <alignment horizontal="left"/>
    </xf>
    <xf numFmtId="165" fontId="36" fillId="0" borderId="11" xfId="173" applyNumberFormat="1" applyFont="1" applyBorder="1" applyProtection="1"/>
    <xf numFmtId="165" fontId="36" fillId="0" borderId="0" xfId="173" applyNumberFormat="1" applyFont="1" applyBorder="1" applyProtection="1"/>
    <xf numFmtId="180" fontId="27" fillId="0" borderId="27" xfId="161" applyFont="1" applyBorder="1"/>
    <xf numFmtId="180" fontId="26" fillId="0" borderId="14" xfId="161" applyFont="1" applyBorder="1"/>
    <xf numFmtId="180" fontId="26" fillId="0" borderId="10" xfId="161" applyFont="1" applyBorder="1"/>
    <xf numFmtId="180" fontId="26" fillId="0" borderId="10" xfId="161" applyFont="1" applyBorder="1" applyAlignment="1">
      <alignment horizontal="left"/>
    </xf>
    <xf numFmtId="180" fontId="26" fillId="0" borderId="38" xfId="161" applyFont="1" applyBorder="1" applyAlignment="1">
      <alignment horizontal="left"/>
    </xf>
    <xf numFmtId="180" fontId="26" fillId="0" borderId="4" xfId="161" applyFont="1" applyBorder="1"/>
    <xf numFmtId="180" fontId="26" fillId="0" borderId="0" xfId="161" applyFont="1" applyAlignment="1">
      <alignment horizontal="fill"/>
    </xf>
    <xf numFmtId="180" fontId="36" fillId="0" borderId="0" xfId="161" applyFont="1" applyAlignment="1">
      <alignment horizontal="fill"/>
    </xf>
    <xf numFmtId="180" fontId="36" fillId="0" borderId="0" xfId="161" applyFont="1" applyAlignment="1">
      <alignment horizontal="center"/>
    </xf>
    <xf numFmtId="0" fontId="57" fillId="0" borderId="0" xfId="1" applyFont="1"/>
    <xf numFmtId="178" fontId="26" fillId="0" borderId="0" xfId="68" applyNumberFormat="1" applyFont="1"/>
    <xf numFmtId="0" fontId="26" fillId="0" borderId="0" xfId="1" applyFont="1"/>
    <xf numFmtId="182" fontId="36" fillId="0" borderId="0" xfId="161" applyNumberFormat="1" applyFont="1"/>
    <xf numFmtId="14" fontId="26" fillId="0" borderId="0" xfId="161" applyNumberFormat="1" applyFont="1"/>
    <xf numFmtId="190" fontId="36" fillId="0" borderId="0" xfId="68" applyNumberFormat="1" applyFont="1" applyBorder="1" applyAlignment="1" applyProtection="1"/>
    <xf numFmtId="3" fontId="26" fillId="0" borderId="0" xfId="161" applyNumberFormat="1" applyFont="1"/>
    <xf numFmtId="37" fontId="26" fillId="0" borderId="0" xfId="161" applyNumberFormat="1" applyFont="1"/>
    <xf numFmtId="37" fontId="26" fillId="0" borderId="0" xfId="161" applyNumberFormat="1" applyFont="1" applyAlignment="1">
      <alignment horizontal="left"/>
    </xf>
    <xf numFmtId="3" fontId="29" fillId="0" borderId="0" xfId="161" applyNumberFormat="1" applyFont="1"/>
    <xf numFmtId="164" fontId="26" fillId="0" borderId="0" xfId="161" applyNumberFormat="1" applyFont="1" applyProtection="1">
      <protection locked="0"/>
    </xf>
    <xf numFmtId="180" fontId="29" fillId="0" borderId="0" xfId="161" applyFont="1"/>
    <xf numFmtId="166" fontId="26" fillId="0" borderId="0" xfId="161" applyNumberFormat="1" applyFont="1"/>
    <xf numFmtId="166" fontId="26" fillId="0" borderId="0" xfId="161" applyNumberFormat="1" applyFont="1" applyProtection="1">
      <protection locked="0"/>
    </xf>
    <xf numFmtId="166" fontId="26" fillId="0" borderId="0" xfId="1" applyNumberFormat="1" applyFont="1"/>
    <xf numFmtId="180" fontId="29" fillId="11" borderId="0" xfId="161" applyFont="1" applyFill="1" applyAlignment="1">
      <alignment horizontal="left"/>
    </xf>
    <xf numFmtId="178" fontId="29" fillId="0" borderId="0" xfId="68" applyNumberFormat="1" applyFont="1"/>
    <xf numFmtId="180" fontId="29" fillId="11" borderId="0" xfId="161" applyFont="1" applyFill="1"/>
    <xf numFmtId="13" fontId="36" fillId="0" borderId="0" xfId="161" applyNumberFormat="1" applyFont="1" applyAlignment="1">
      <alignment horizontal="center"/>
    </xf>
    <xf numFmtId="180" fontId="26" fillId="0" borderId="0" xfId="161" applyFont="1" applyAlignment="1" applyProtection="1">
      <alignment horizontal="left"/>
      <protection locked="0"/>
    </xf>
    <xf numFmtId="0" fontId="0" fillId="0" borderId="0" xfId="1" applyFont="1"/>
    <xf numFmtId="183" fontId="36" fillId="0" borderId="0" xfId="161" applyNumberFormat="1" applyFont="1"/>
    <xf numFmtId="180" fontId="36" fillId="0" borderId="0" xfId="161" quotePrefix="1" applyFont="1" applyAlignment="1">
      <alignment horizontal="center"/>
    </xf>
    <xf numFmtId="165" fontId="0" fillId="0" borderId="0" xfId="161" applyNumberFormat="1" applyFont="1"/>
    <xf numFmtId="0" fontId="40" fillId="0" borderId="0" xfId="1" applyFont="1"/>
    <xf numFmtId="180" fontId="0" fillId="0" borderId="0" xfId="161" applyFont="1" applyAlignment="1">
      <alignment horizontal="left"/>
    </xf>
    <xf numFmtId="180" fontId="24" fillId="0" borderId="0" xfId="161" applyFont="1" applyAlignment="1">
      <alignment horizontal="left"/>
    </xf>
    <xf numFmtId="0" fontId="0" fillId="0" borderId="0" xfId="161" applyNumberFormat="1" applyFont="1"/>
    <xf numFmtId="0" fontId="36" fillId="0" borderId="0" xfId="161" applyNumberFormat="1" applyFont="1"/>
    <xf numFmtId="180" fontId="26" fillId="0" borderId="0" xfId="161" applyFont="1" applyAlignment="1">
      <alignment horizontal="left" indent="1"/>
    </xf>
    <xf numFmtId="190" fontId="36" fillId="0" borderId="0" xfId="161" quotePrefix="1" applyNumberFormat="1" applyFont="1" applyAlignment="1">
      <alignment horizontal="center"/>
    </xf>
    <xf numFmtId="190" fontId="36" fillId="0" borderId="11" xfId="161" quotePrefix="1" applyNumberFormat="1" applyFont="1" applyBorder="1" applyAlignment="1">
      <alignment horizontal="center"/>
    </xf>
    <xf numFmtId="190" fontId="36" fillId="0" borderId="11" xfId="68" applyNumberFormat="1" applyFont="1" applyBorder="1" applyProtection="1"/>
    <xf numFmtId="190" fontId="36" fillId="0" borderId="11" xfId="161" applyNumberFormat="1" applyFont="1" applyBorder="1"/>
    <xf numFmtId="190" fontId="34" fillId="0" borderId="11" xfId="68" applyNumberFormat="1" applyFont="1" applyBorder="1" applyProtection="1"/>
    <xf numFmtId="190" fontId="36" fillId="0" borderId="0" xfId="161" applyNumberFormat="1" applyFont="1"/>
    <xf numFmtId="190" fontId="36" fillId="0" borderId="0" xfId="68" quotePrefix="1" applyNumberFormat="1" applyFont="1" applyBorder="1" applyAlignment="1" applyProtection="1">
      <alignment horizontal="center"/>
    </xf>
    <xf numFmtId="180" fontId="36" fillId="0" borderId="4" xfId="161" quotePrefix="1" applyFont="1" applyBorder="1" applyAlignment="1">
      <alignment horizontal="center"/>
    </xf>
    <xf numFmtId="180" fontId="36" fillId="0" borderId="18" xfId="161" quotePrefix="1" applyFont="1" applyBorder="1" applyAlignment="1">
      <alignment horizontal="center"/>
    </xf>
    <xf numFmtId="180" fontId="36" fillId="0" borderId="14" xfId="161" quotePrefix="1" applyFont="1" applyBorder="1" applyAlignment="1">
      <alignment horizontal="center"/>
    </xf>
    <xf numFmtId="180" fontId="36" fillId="0" borderId="17" xfId="161" quotePrefix="1" applyFont="1" applyBorder="1" applyAlignment="1">
      <alignment horizontal="center"/>
    </xf>
    <xf numFmtId="180" fontId="36" fillId="0" borderId="11" xfId="161" quotePrefix="1" applyFont="1" applyBorder="1" applyAlignment="1">
      <alignment horizontal="center"/>
    </xf>
    <xf numFmtId="167" fontId="36" fillId="0" borderId="0" xfId="161" applyNumberFormat="1" applyFont="1"/>
    <xf numFmtId="167" fontId="36" fillId="0" borderId="11" xfId="161" applyNumberFormat="1" applyFont="1" applyBorder="1"/>
    <xf numFmtId="167" fontId="36" fillId="0" borderId="4" xfId="161" applyNumberFormat="1" applyFont="1" applyBorder="1"/>
    <xf numFmtId="167" fontId="36" fillId="0" borderId="18" xfId="161" applyNumberFormat="1" applyFont="1" applyBorder="1"/>
    <xf numFmtId="180" fontId="30" fillId="0" borderId="0" xfId="161" applyFont="1"/>
    <xf numFmtId="180" fontId="58" fillId="0" borderId="0" xfId="161" quotePrefix="1" applyFont="1" applyAlignment="1">
      <alignment horizontal="left"/>
    </xf>
    <xf numFmtId="180" fontId="36" fillId="0" borderId="17" xfId="161" applyFont="1" applyBorder="1" applyAlignment="1">
      <alignment horizontal="center"/>
    </xf>
    <xf numFmtId="186" fontId="36" fillId="0" borderId="11" xfId="68" applyNumberFormat="1" applyFont="1" applyBorder="1" applyProtection="1"/>
    <xf numFmtId="3" fontId="29" fillId="0" borderId="0" xfId="161" applyNumberFormat="1" applyFont="1" applyAlignment="1">
      <alignment horizontal="left" indent="2"/>
    </xf>
    <xf numFmtId="190" fontId="36" fillId="0" borderId="0" xfId="68" applyNumberFormat="1" applyFont="1" applyBorder="1" applyAlignment="1" applyProtection="1">
      <alignment horizontal="center"/>
    </xf>
    <xf numFmtId="3" fontId="26" fillId="0" borderId="0" xfId="161" applyNumberFormat="1" applyFont="1" applyAlignment="1">
      <alignment horizontal="left" indent="3"/>
    </xf>
    <xf numFmtId="165" fontId="36" fillId="0" borderId="11" xfId="173" applyNumberFormat="1" applyFont="1" applyBorder="1" applyAlignment="1" applyProtection="1"/>
    <xf numFmtId="165" fontId="29" fillId="0" borderId="0" xfId="161" applyNumberFormat="1" applyFont="1" applyAlignment="1">
      <alignment horizontal="left" indent="2"/>
    </xf>
    <xf numFmtId="190" fontId="36" fillId="0" borderId="11" xfId="68" applyNumberFormat="1" applyFont="1" applyBorder="1" applyAlignment="1" applyProtection="1"/>
    <xf numFmtId="165" fontId="36" fillId="0" borderId="4" xfId="173" applyNumberFormat="1" applyFont="1" applyBorder="1" applyAlignment="1" applyProtection="1"/>
    <xf numFmtId="165" fontId="36" fillId="0" borderId="18" xfId="173" applyNumberFormat="1" applyFont="1" applyBorder="1" applyAlignment="1" applyProtection="1"/>
    <xf numFmtId="180" fontId="37" fillId="0" borderId="0" xfId="161" applyFont="1" applyAlignment="1">
      <alignment horizontal="left"/>
    </xf>
    <xf numFmtId="165" fontId="27" fillId="0" borderId="0" xfId="173" applyNumberFormat="1" applyFont="1" applyAlignment="1" applyProtection="1">
      <alignment horizontal="right"/>
    </xf>
    <xf numFmtId="165" fontId="26" fillId="0" borderId="0" xfId="161" applyNumberFormat="1" applyFont="1" applyAlignment="1">
      <alignment horizontal="left" indent="1"/>
    </xf>
    <xf numFmtId="165" fontId="26" fillId="0" borderId="0" xfId="173" applyNumberFormat="1" applyFont="1" applyAlignment="1" applyProtection="1">
      <alignment horizontal="right"/>
    </xf>
    <xf numFmtId="187" fontId="36" fillId="0" borderId="0" xfId="161" applyNumberFormat="1" applyFont="1"/>
    <xf numFmtId="187" fontId="36" fillId="0" borderId="11" xfId="161" applyNumberFormat="1" applyFont="1" applyBorder="1"/>
    <xf numFmtId="190" fontId="36" fillId="0" borderId="12" xfId="161" applyNumberFormat="1" applyFont="1" applyBorder="1"/>
    <xf numFmtId="190" fontId="36" fillId="0" borderId="18" xfId="68" applyNumberFormat="1" applyFont="1" applyBorder="1"/>
    <xf numFmtId="190" fontId="36" fillId="0" borderId="0" xfId="68" applyNumberFormat="1" applyFont="1" applyBorder="1" applyAlignment="1" applyProtection="1">
      <alignment horizontal="right"/>
    </xf>
    <xf numFmtId="165" fontId="36" fillId="0" borderId="0" xfId="68" applyNumberFormat="1" applyFont="1" applyBorder="1" applyProtection="1"/>
    <xf numFmtId="165" fontId="36" fillId="0" borderId="11" xfId="161" applyNumberFormat="1" applyFont="1" applyBorder="1" applyProtection="1">
      <protection locked="0"/>
    </xf>
    <xf numFmtId="190" fontId="36" fillId="0" borderId="11" xfId="68" applyNumberFormat="1" applyFont="1" applyBorder="1"/>
    <xf numFmtId="190" fontId="36" fillId="0" borderId="0" xfId="68" applyNumberFormat="1" applyFont="1" applyProtection="1"/>
    <xf numFmtId="0" fontId="29" fillId="0" borderId="0" xfId="161" applyNumberFormat="1" applyFont="1" applyAlignment="1">
      <alignment horizontal="left"/>
    </xf>
    <xf numFmtId="190" fontId="36" fillId="0" borderId="4" xfId="68" applyNumberFormat="1" applyFont="1" applyBorder="1" applyProtection="1"/>
    <xf numFmtId="190" fontId="36" fillId="0" borderId="18" xfId="68" applyNumberFormat="1" applyFont="1" applyBorder="1" applyProtection="1"/>
    <xf numFmtId="180" fontId="57" fillId="0" borderId="0" xfId="1" applyNumberFormat="1" applyFont="1"/>
    <xf numFmtId="190" fontId="36" fillId="0" borderId="14" xfId="68" applyNumberFormat="1" applyFont="1" applyBorder="1" applyProtection="1"/>
    <xf numFmtId="190" fontId="29" fillId="11" borderId="11" xfId="68" applyNumberFormat="1" applyFont="1" applyFill="1" applyBorder="1" applyProtection="1"/>
    <xf numFmtId="190" fontId="31" fillId="0" borderId="11" xfId="68" applyNumberFormat="1" applyFont="1" applyBorder="1" applyProtection="1"/>
    <xf numFmtId="190" fontId="31" fillId="0" borderId="0" xfId="68" applyNumberFormat="1" applyFont="1" applyBorder="1" applyProtection="1"/>
    <xf numFmtId="190" fontId="9" fillId="11" borderId="11" xfId="68" applyNumberFormat="1" applyFont="1" applyFill="1" applyBorder="1" applyProtection="1"/>
    <xf numFmtId="180" fontId="26" fillId="0" borderId="4" xfId="161" applyFont="1" applyBorder="1" applyAlignment="1">
      <alignment horizontal="left"/>
    </xf>
    <xf numFmtId="190" fontId="36" fillId="11" borderId="17" xfId="68" applyNumberFormat="1" applyFont="1" applyFill="1" applyBorder="1" applyProtection="1"/>
    <xf numFmtId="190" fontId="9" fillId="11" borderId="0" xfId="68" applyNumberFormat="1" applyFont="1" applyFill="1" applyBorder="1" applyProtection="1"/>
    <xf numFmtId="190" fontId="36" fillId="11" borderId="4" xfId="68" applyNumberFormat="1" applyFont="1" applyFill="1" applyBorder="1" applyProtection="1"/>
    <xf numFmtId="190" fontId="36" fillId="11" borderId="18" xfId="68" applyNumberFormat="1" applyFont="1" applyFill="1" applyBorder="1" applyProtection="1"/>
    <xf numFmtId="179" fontId="26" fillId="0" borderId="0" xfId="161" applyNumberFormat="1" applyFont="1"/>
    <xf numFmtId="165" fontId="36" fillId="0" borderId="0" xfId="173" applyNumberFormat="1" applyFont="1"/>
    <xf numFmtId="37" fontId="36" fillId="0" borderId="0" xfId="161" applyNumberFormat="1" applyFont="1" applyAlignment="1">
      <alignment horizontal="right"/>
    </xf>
    <xf numFmtId="166" fontId="36" fillId="0" borderId="0" xfId="161" applyNumberFormat="1" applyFont="1"/>
    <xf numFmtId="180" fontId="29" fillId="0" borderId="0" xfId="161" applyFont="1" applyAlignment="1">
      <alignment horizontal="left" indent="2"/>
    </xf>
    <xf numFmtId="180" fontId="31" fillId="11" borderId="0" xfId="161" applyFont="1" applyFill="1" applyAlignment="1">
      <alignment horizontal="left"/>
    </xf>
    <xf numFmtId="180" fontId="36" fillId="11" borderId="0" xfId="161" applyFont="1" applyFill="1" applyAlignment="1">
      <alignment horizontal="left" indent="1"/>
    </xf>
    <xf numFmtId="0" fontId="42" fillId="0" borderId="0" xfId="68" applyNumberFormat="1" applyFont="1" applyBorder="1" applyAlignment="1"/>
    <xf numFmtId="0" fontId="36" fillId="0" borderId="0" xfId="1" applyAlignment="1">
      <alignment horizontal="left"/>
    </xf>
    <xf numFmtId="0" fontId="36" fillId="0" borderId="0" xfId="1" applyAlignment="1">
      <alignment horizontal="right"/>
    </xf>
    <xf numFmtId="0" fontId="34" fillId="0" borderId="0" xfId="68" applyNumberFormat="1" applyFont="1" applyBorder="1" applyAlignment="1">
      <alignment horizontal="left"/>
    </xf>
    <xf numFmtId="190" fontId="40" fillId="0" borderId="0" xfId="68" applyNumberFormat="1" applyFont="1" applyAlignment="1"/>
    <xf numFmtId="190" fontId="40" fillId="0" borderId="0" xfId="68" applyNumberFormat="1" applyFont="1" applyBorder="1" applyAlignment="1"/>
    <xf numFmtId="0" fontId="40" fillId="0" borderId="0" xfId="1" applyFont="1" applyAlignment="1">
      <alignment horizontal="left"/>
    </xf>
    <xf numFmtId="0" fontId="40" fillId="0" borderId="0" xfId="1" applyFont="1" applyAlignment="1">
      <alignment horizontal="right"/>
    </xf>
    <xf numFmtId="190" fontId="40" fillId="0" borderId="0" xfId="68" applyNumberFormat="1" applyFont="1"/>
    <xf numFmtId="190" fontId="40" fillId="0" borderId="0" xfId="68" applyNumberFormat="1" applyFont="1" applyBorder="1" applyAlignment="1">
      <alignment horizontal="left"/>
    </xf>
    <xf numFmtId="0" fontId="40" fillId="11" borderId="13" xfId="1" applyFont="1" applyFill="1" applyBorder="1"/>
    <xf numFmtId="0" fontId="41" fillId="14" borderId="43" xfId="1" applyFont="1" applyFill="1" applyBorder="1"/>
    <xf numFmtId="190" fontId="40" fillId="11" borderId="0" xfId="68" applyNumberFormat="1" applyFont="1" applyFill="1"/>
    <xf numFmtId="190" fontId="39" fillId="11" borderId="0" xfId="68" applyNumberFormat="1" applyFont="1" applyFill="1"/>
    <xf numFmtId="0" fontId="40" fillId="11" borderId="0" xfId="1" applyFont="1" applyFill="1" applyAlignment="1">
      <alignment horizontal="left" indent="1"/>
    </xf>
    <xf numFmtId="190" fontId="40" fillId="11" borderId="0" xfId="1" applyNumberFormat="1" applyFont="1" applyFill="1"/>
    <xf numFmtId="186" fontId="39" fillId="11" borderId="0" xfId="1" applyNumberFormat="1" applyFont="1" applyFill="1"/>
    <xf numFmtId="0" fontId="39" fillId="11" borderId="41" xfId="1" applyFont="1" applyFill="1" applyBorder="1"/>
    <xf numFmtId="0" fontId="39" fillId="11" borderId="13" xfId="1" applyFont="1" applyFill="1" applyBorder="1"/>
    <xf numFmtId="0" fontId="52" fillId="11" borderId="0" xfId="1" applyFont="1" applyFill="1"/>
    <xf numFmtId="165" fontId="55" fillId="14" borderId="43" xfId="173" applyNumberFormat="1" applyFont="1" applyFill="1" applyBorder="1" applyAlignment="1">
      <alignment horizontal="center"/>
    </xf>
    <xf numFmtId="190" fontId="39" fillId="11" borderId="0" xfId="1" applyNumberFormat="1" applyFont="1" applyFill="1"/>
    <xf numFmtId="190" fontId="40" fillId="11" borderId="4" xfId="1" applyNumberFormat="1" applyFont="1" applyFill="1" applyBorder="1"/>
    <xf numFmtId="186" fontId="40" fillId="11" borderId="0" xfId="1" applyNumberFormat="1" applyFont="1" applyFill="1"/>
    <xf numFmtId="186" fontId="39" fillId="11" borderId="0" xfId="1" applyNumberFormat="1" applyFont="1" applyFill="1" applyAlignment="1">
      <alignment horizontal="center"/>
    </xf>
    <xf numFmtId="202" fontId="39" fillId="11" borderId="49" xfId="1" applyNumberFormat="1" applyFont="1" applyFill="1" applyBorder="1" applyAlignment="1">
      <alignment horizontal="center"/>
    </xf>
    <xf numFmtId="186" fontId="55" fillId="14" borderId="43" xfId="1" applyNumberFormat="1" applyFont="1" applyFill="1" applyBorder="1"/>
    <xf numFmtId="202" fontId="39" fillId="11" borderId="43" xfId="1" applyNumberFormat="1" applyFont="1" applyFill="1" applyBorder="1" applyAlignment="1">
      <alignment horizontal="center"/>
    </xf>
    <xf numFmtId="9" fontId="39" fillId="11" borderId="0" xfId="173" applyFont="1" applyFill="1" applyBorder="1"/>
    <xf numFmtId="43" fontId="40" fillId="11" borderId="0" xfId="1" applyNumberFormat="1" applyFont="1" applyFill="1"/>
    <xf numFmtId="186" fontId="39" fillId="11" borderId="0" xfId="173" applyNumberFormat="1" applyFont="1" applyFill="1" applyBorder="1" applyAlignment="1">
      <alignment horizontal="center"/>
    </xf>
    <xf numFmtId="8" fontId="40" fillId="11" borderId="0" xfId="1" applyNumberFormat="1" applyFont="1" applyFill="1"/>
    <xf numFmtId="9" fontId="40" fillId="11" borderId="0" xfId="173" applyFont="1" applyFill="1" applyBorder="1"/>
    <xf numFmtId="9" fontId="39" fillId="11" borderId="0" xfId="173" applyFont="1" applyFill="1" applyBorder="1" applyAlignment="1">
      <alignment horizontal="right"/>
    </xf>
    <xf numFmtId="0" fontId="39" fillId="11" borderId="43" xfId="68" applyNumberFormat="1" applyFont="1" applyFill="1" applyBorder="1" applyAlignment="1"/>
    <xf numFmtId="4" fontId="36" fillId="0" borderId="0" xfId="161" applyNumberFormat="1" applyFont="1"/>
    <xf numFmtId="4" fontId="36" fillId="0" borderId="0" xfId="161" applyNumberFormat="1" applyFont="1" applyAlignment="1">
      <alignment horizontal="left"/>
    </xf>
    <xf numFmtId="4" fontId="0" fillId="0" borderId="0" xfId="161" applyNumberFormat="1" applyFont="1"/>
    <xf numFmtId="3" fontId="36" fillId="0" borderId="0" xfId="161" applyNumberFormat="1" applyFont="1" applyAlignment="1">
      <alignment horizontal="left"/>
    </xf>
    <xf numFmtId="165" fontId="36" fillId="0" borderId="0" xfId="161" applyNumberFormat="1" applyFont="1" applyAlignment="1">
      <alignment horizontal="left"/>
    </xf>
    <xf numFmtId="0" fontId="49" fillId="11" borderId="0" xfId="1" applyFont="1" applyFill="1"/>
    <xf numFmtId="180" fontId="36" fillId="0" borderId="0" xfId="161" applyFont="1" applyAlignment="1">
      <alignment horizontal="left" indent="1"/>
    </xf>
    <xf numFmtId="180" fontId="36" fillId="11" borderId="0" xfId="161" applyFont="1" applyFill="1"/>
    <xf numFmtId="190" fontId="36" fillId="11" borderId="11" xfId="68" applyNumberFormat="1" applyFont="1" applyFill="1" applyBorder="1" applyProtection="1">
      <protection locked="0"/>
    </xf>
    <xf numFmtId="190" fontId="29" fillId="11" borderId="11" xfId="68" applyNumberFormat="1" applyFont="1" applyFill="1" applyBorder="1" applyAlignment="1" applyProtection="1">
      <alignment horizontal="center"/>
    </xf>
    <xf numFmtId="190" fontId="36" fillId="11" borderId="10" xfId="68" applyNumberFormat="1" applyFont="1" applyFill="1" applyBorder="1" applyProtection="1"/>
    <xf numFmtId="0" fontId="36" fillId="11" borderId="11" xfId="161" applyNumberFormat="1" applyFont="1" applyFill="1" applyBorder="1" applyAlignment="1">
      <alignment horizontal="center"/>
    </xf>
    <xf numFmtId="0" fontId="36" fillId="11" borderId="0" xfId="161" applyNumberFormat="1" applyFont="1" applyFill="1" applyAlignment="1">
      <alignment horizontal="center"/>
    </xf>
    <xf numFmtId="190" fontId="36" fillId="11" borderId="10" xfId="68" applyNumberFormat="1" applyFont="1" applyFill="1" applyBorder="1" applyAlignment="1" applyProtection="1">
      <alignment horizontal="center"/>
    </xf>
    <xf numFmtId="190" fontId="36" fillId="11" borderId="0" xfId="68" applyNumberFormat="1" applyFont="1" applyFill="1" applyBorder="1" applyAlignment="1" applyProtection="1">
      <alignment horizontal="center"/>
    </xf>
    <xf numFmtId="190" fontId="31" fillId="11" borderId="10" xfId="68" applyNumberFormat="1" applyFont="1" applyFill="1" applyBorder="1" applyProtection="1"/>
    <xf numFmtId="0" fontId="29" fillId="11" borderId="14" xfId="1" applyFont="1" applyFill="1" applyBorder="1" applyAlignment="1">
      <alignment horizontal="center"/>
    </xf>
    <xf numFmtId="0" fontId="29" fillId="11" borderId="17" xfId="1" applyFont="1" applyFill="1" applyBorder="1" applyAlignment="1">
      <alignment horizontal="center"/>
    </xf>
    <xf numFmtId="0" fontId="29" fillId="11" borderId="0" xfId="161" applyNumberFormat="1" applyFont="1" applyFill="1" applyAlignment="1">
      <alignment horizontal="center"/>
    </xf>
    <xf numFmtId="0" fontId="29" fillId="11" borderId="11" xfId="161" applyNumberFormat="1" applyFont="1" applyFill="1" applyBorder="1" applyAlignment="1">
      <alignment horizontal="center"/>
    </xf>
    <xf numFmtId="190" fontId="29" fillId="11" borderId="4" xfId="68" applyNumberFormat="1" applyFont="1" applyFill="1" applyBorder="1" applyProtection="1"/>
    <xf numFmtId="190" fontId="29" fillId="11" borderId="18" xfId="68" applyNumberFormat="1" applyFont="1" applyFill="1" applyBorder="1" applyProtection="1"/>
    <xf numFmtId="180" fontId="109" fillId="0" borderId="0" xfId="161" applyFont="1" applyAlignment="1">
      <alignment horizontal="centerContinuous"/>
    </xf>
    <xf numFmtId="180" fontId="110" fillId="0" borderId="0" xfId="161" applyFont="1" applyAlignment="1">
      <alignment horizontal="centerContinuous"/>
    </xf>
    <xf numFmtId="0" fontId="110" fillId="0" borderId="0" xfId="161" applyNumberFormat="1" applyFont="1"/>
    <xf numFmtId="180" fontId="111" fillId="0" borderId="0" xfId="161" applyFont="1" applyAlignment="1">
      <alignment horizontal="centerContinuous"/>
    </xf>
    <xf numFmtId="0" fontId="111" fillId="0" borderId="0" xfId="161" applyNumberFormat="1" applyFont="1"/>
    <xf numFmtId="180" fontId="112" fillId="0" borderId="0" xfId="161" applyFont="1"/>
    <xf numFmtId="180" fontId="112" fillId="0" borderId="14" xfId="161" applyFont="1" applyBorder="1" applyAlignment="1">
      <alignment horizontal="center"/>
    </xf>
    <xf numFmtId="180" fontId="112" fillId="0" borderId="17" xfId="161" applyFont="1" applyBorder="1" applyAlignment="1">
      <alignment horizontal="center"/>
    </xf>
    <xf numFmtId="181" fontId="112" fillId="0" borderId="4" xfId="161" applyNumberFormat="1" applyFont="1" applyBorder="1" applyAlignment="1">
      <alignment horizontal="center"/>
    </xf>
    <xf numFmtId="181" fontId="112" fillId="0" borderId="18" xfId="161" applyNumberFormat="1" applyFont="1" applyBorder="1" applyAlignment="1">
      <alignment horizontal="center"/>
    </xf>
    <xf numFmtId="165" fontId="112" fillId="0" borderId="0" xfId="161" applyNumberFormat="1" applyFont="1"/>
    <xf numFmtId="165" fontId="112" fillId="0" borderId="11" xfId="161" applyNumberFormat="1" applyFont="1" applyBorder="1"/>
    <xf numFmtId="190" fontId="112" fillId="0" borderId="0" xfId="161" quotePrefix="1" applyNumberFormat="1" applyFont="1" applyAlignment="1">
      <alignment horizontal="center"/>
    </xf>
    <xf numFmtId="190" fontId="112" fillId="0" borderId="11" xfId="161" quotePrefix="1" applyNumberFormat="1" applyFont="1" applyBorder="1" applyAlignment="1">
      <alignment horizontal="center"/>
    </xf>
    <xf numFmtId="190" fontId="112" fillId="0" borderId="0" xfId="68" applyNumberFormat="1" applyFont="1" applyBorder="1" applyProtection="1"/>
    <xf numFmtId="190" fontId="112" fillId="0" borderId="11" xfId="68" applyNumberFormat="1" applyFont="1" applyBorder="1" applyProtection="1"/>
    <xf numFmtId="190" fontId="112" fillId="0" borderId="11" xfId="161" applyNumberFormat="1" applyFont="1" applyBorder="1"/>
    <xf numFmtId="190" fontId="113" fillId="0" borderId="0" xfId="68" applyNumberFormat="1" applyFont="1" applyBorder="1" applyProtection="1"/>
    <xf numFmtId="190" fontId="113" fillId="0" borderId="11" xfId="68" applyNumberFormat="1" applyFont="1" applyBorder="1" applyProtection="1"/>
    <xf numFmtId="190" fontId="112" fillId="0" borderId="0" xfId="161" applyNumberFormat="1" applyFont="1"/>
    <xf numFmtId="190" fontId="112" fillId="0" borderId="0" xfId="68" applyNumberFormat="1" applyFont="1" applyBorder="1" applyProtection="1">
      <protection locked="0"/>
    </xf>
    <xf numFmtId="190" fontId="112" fillId="0" borderId="11" xfId="68" applyNumberFormat="1" applyFont="1" applyBorder="1" applyProtection="1">
      <protection locked="0"/>
    </xf>
    <xf numFmtId="165" fontId="112" fillId="0" borderId="0" xfId="173" applyNumberFormat="1" applyFont="1" applyBorder="1" applyProtection="1"/>
    <xf numFmtId="165" fontId="112" fillId="0" borderId="11" xfId="173" applyNumberFormat="1" applyFont="1" applyBorder="1" applyProtection="1"/>
    <xf numFmtId="190" fontId="112" fillId="0" borderId="0" xfId="68" quotePrefix="1" applyNumberFormat="1" applyFont="1" applyBorder="1" applyAlignment="1" applyProtection="1">
      <alignment horizontal="center"/>
    </xf>
    <xf numFmtId="180" fontId="112" fillId="0" borderId="4" xfId="161" quotePrefix="1" applyFont="1" applyBorder="1" applyAlignment="1">
      <alignment horizontal="center"/>
    </xf>
    <xf numFmtId="180" fontId="112" fillId="0" borderId="18" xfId="161" quotePrefix="1" applyFont="1" applyBorder="1" applyAlignment="1">
      <alignment horizontal="center"/>
    </xf>
    <xf numFmtId="180" fontId="112" fillId="0" borderId="14" xfId="161" quotePrefix="1" applyFont="1" applyBorder="1" applyAlignment="1">
      <alignment horizontal="center"/>
    </xf>
    <xf numFmtId="180" fontId="112" fillId="0" borderId="17" xfId="161" quotePrefix="1" applyFont="1" applyBorder="1" applyAlignment="1">
      <alignment horizontal="center"/>
    </xf>
    <xf numFmtId="180" fontId="112" fillId="0" borderId="0" xfId="161" quotePrefix="1" applyFont="1" applyAlignment="1">
      <alignment horizontal="center"/>
    </xf>
    <xf numFmtId="180" fontId="112" fillId="0" borderId="11" xfId="161" quotePrefix="1" applyFont="1" applyBorder="1" applyAlignment="1">
      <alignment horizontal="center"/>
    </xf>
    <xf numFmtId="167" fontId="112" fillId="0" borderId="0" xfId="161" applyNumberFormat="1" applyFont="1"/>
    <xf numFmtId="167" fontId="112" fillId="0" borderId="11" xfId="161" applyNumberFormat="1" applyFont="1" applyBorder="1"/>
    <xf numFmtId="167" fontId="112" fillId="0" borderId="4" xfId="161" applyNumberFormat="1" applyFont="1" applyBorder="1"/>
    <xf numFmtId="167" fontId="112" fillId="0" borderId="18" xfId="161" applyNumberFormat="1" applyFont="1" applyBorder="1"/>
    <xf numFmtId="180" fontId="112" fillId="0" borderId="0" xfId="161" applyFont="1" applyAlignment="1">
      <alignment horizontal="fill"/>
    </xf>
    <xf numFmtId="180" fontId="112" fillId="0" borderId="0" xfId="161" applyFont="1" applyAlignment="1">
      <alignment horizontal="center"/>
    </xf>
    <xf numFmtId="182" fontId="112" fillId="0" borderId="0" xfId="161" applyNumberFormat="1" applyFont="1"/>
    <xf numFmtId="186" fontId="112" fillId="0" borderId="0" xfId="68" applyNumberFormat="1" applyFont="1" applyBorder="1" applyAlignment="1" applyProtection="1">
      <alignment horizontal="center"/>
    </xf>
    <xf numFmtId="186" fontId="112" fillId="0" borderId="11" xfId="68" applyNumberFormat="1" applyFont="1" applyBorder="1" applyProtection="1"/>
    <xf numFmtId="190" fontId="112" fillId="0" borderId="0" xfId="68" applyNumberFormat="1" applyFont="1" applyBorder="1" applyAlignment="1" applyProtection="1">
      <alignment horizontal="center"/>
    </xf>
    <xf numFmtId="165" fontId="112" fillId="0" borderId="0" xfId="173" applyNumberFormat="1" applyFont="1" applyBorder="1" applyAlignment="1" applyProtection="1"/>
    <xf numFmtId="165" fontId="112" fillId="0" borderId="11" xfId="173" applyNumberFormat="1" applyFont="1" applyBorder="1" applyAlignment="1" applyProtection="1"/>
    <xf numFmtId="190" fontId="112" fillId="0" borderId="0" xfId="68" applyNumberFormat="1" applyFont="1" applyBorder="1" applyAlignment="1" applyProtection="1"/>
    <xf numFmtId="190" fontId="112" fillId="0" borderId="11" xfId="68" applyNumberFormat="1" applyFont="1" applyBorder="1" applyAlignment="1" applyProtection="1"/>
    <xf numFmtId="165" fontId="112" fillId="0" borderId="4" xfId="173" applyNumberFormat="1" applyFont="1" applyBorder="1" applyAlignment="1" applyProtection="1"/>
    <xf numFmtId="165" fontId="112" fillId="0" borderId="18" xfId="173" applyNumberFormat="1" applyFont="1" applyBorder="1" applyAlignment="1" applyProtection="1"/>
    <xf numFmtId="187" fontId="112" fillId="0" borderId="0" xfId="161" applyNumberFormat="1" applyFont="1"/>
    <xf numFmtId="187" fontId="112" fillId="0" borderId="11" xfId="161" applyNumberFormat="1" applyFont="1" applyBorder="1"/>
    <xf numFmtId="190" fontId="112" fillId="0" borderId="12" xfId="161" applyNumberFormat="1" applyFont="1" applyBorder="1"/>
    <xf numFmtId="190" fontId="112" fillId="0" borderId="4" xfId="68" applyNumberFormat="1" applyFont="1" applyBorder="1"/>
    <xf numFmtId="190" fontId="112" fillId="0" borderId="18" xfId="68" applyNumberFormat="1" applyFont="1" applyBorder="1"/>
    <xf numFmtId="190" fontId="112" fillId="0" borderId="0" xfId="68" applyNumberFormat="1" applyFont="1" applyBorder="1" applyAlignment="1" applyProtection="1">
      <alignment horizontal="right"/>
    </xf>
    <xf numFmtId="165" fontId="112" fillId="0" borderId="0" xfId="68" applyNumberFormat="1" applyFont="1" applyBorder="1" applyProtection="1"/>
    <xf numFmtId="165" fontId="112" fillId="0" borderId="11" xfId="161" applyNumberFormat="1" applyFont="1" applyBorder="1" applyProtection="1">
      <protection locked="0"/>
    </xf>
    <xf numFmtId="190" fontId="112" fillId="0" borderId="0" xfId="68" applyNumberFormat="1" applyFont="1" applyBorder="1"/>
    <xf numFmtId="190" fontId="112" fillId="0" borderId="11" xfId="68" applyNumberFormat="1" applyFont="1" applyBorder="1"/>
    <xf numFmtId="190" fontId="112" fillId="0" borderId="0" xfId="68" applyNumberFormat="1" applyFont="1" applyProtection="1"/>
    <xf numFmtId="190" fontId="112" fillId="0" borderId="4" xfId="68" applyNumberFormat="1" applyFont="1" applyBorder="1" applyProtection="1"/>
    <xf numFmtId="190" fontId="112" fillId="0" borderId="18" xfId="68" applyNumberFormat="1" applyFont="1" applyBorder="1" applyProtection="1"/>
    <xf numFmtId="180" fontId="112" fillId="0" borderId="0" xfId="161" applyFont="1" applyAlignment="1">
      <alignment horizontal="centerContinuous"/>
    </xf>
    <xf numFmtId="190" fontId="112" fillId="0" borderId="14" xfId="68" applyNumberFormat="1" applyFont="1" applyBorder="1" applyProtection="1"/>
    <xf numFmtId="190" fontId="112" fillId="11" borderId="0" xfId="68" applyNumberFormat="1" applyFont="1" applyFill="1" applyBorder="1" applyProtection="1"/>
    <xf numFmtId="190" fontId="112" fillId="11" borderId="11" xfId="68" applyNumberFormat="1" applyFont="1" applyFill="1" applyBorder="1" applyProtection="1"/>
    <xf numFmtId="190" fontId="112" fillId="0" borderId="0" xfId="68" applyNumberFormat="1" applyFont="1" applyBorder="1" applyAlignment="1" applyProtection="1">
      <alignment horizontal="left"/>
    </xf>
    <xf numFmtId="190" fontId="112" fillId="0" borderId="11" xfId="68" applyNumberFormat="1" applyFont="1" applyBorder="1" applyAlignment="1" applyProtection="1">
      <alignment horizontal="left"/>
    </xf>
    <xf numFmtId="190" fontId="114" fillId="11" borderId="0" xfId="68" applyNumberFormat="1" applyFont="1" applyFill="1" applyBorder="1" applyProtection="1"/>
    <xf numFmtId="190" fontId="114" fillId="11" borderId="11" xfId="68" applyNumberFormat="1" applyFont="1" applyFill="1" applyBorder="1" applyProtection="1"/>
    <xf numFmtId="190" fontId="114" fillId="0" borderId="0" xfId="68" applyNumberFormat="1" applyFont="1" applyBorder="1" applyProtection="1"/>
    <xf numFmtId="190" fontId="112" fillId="11" borderId="0" xfId="68" applyNumberFormat="1" applyFont="1" applyFill="1" applyAlignment="1" applyProtection="1">
      <alignment horizontal="right"/>
    </xf>
    <xf numFmtId="13" fontId="112" fillId="0" borderId="0" xfId="161" applyNumberFormat="1" applyFont="1" applyAlignment="1">
      <alignment horizontal="center"/>
    </xf>
    <xf numFmtId="37" fontId="112" fillId="0" borderId="0" xfId="161" applyNumberFormat="1" applyFont="1" applyAlignment="1">
      <alignment horizontal="right"/>
    </xf>
    <xf numFmtId="190" fontId="112" fillId="11" borderId="14" xfId="68" applyNumberFormat="1" applyFont="1" applyFill="1" applyBorder="1" applyProtection="1"/>
    <xf numFmtId="190" fontId="112" fillId="11" borderId="17" xfId="68" applyNumberFormat="1" applyFont="1" applyFill="1" applyBorder="1" applyProtection="1"/>
    <xf numFmtId="0" fontId="112" fillId="11" borderId="0" xfId="68" applyNumberFormat="1" applyFont="1" applyFill="1" applyBorder="1" applyProtection="1"/>
    <xf numFmtId="190" fontId="112" fillId="11" borderId="12" xfId="68" applyNumberFormat="1" applyFont="1" applyFill="1" applyBorder="1" applyProtection="1"/>
    <xf numFmtId="190" fontId="112" fillId="11" borderId="4" xfId="68" applyNumberFormat="1" applyFont="1" applyFill="1" applyBorder="1" applyProtection="1"/>
    <xf numFmtId="190" fontId="112" fillId="11" borderId="18" xfId="68" applyNumberFormat="1" applyFont="1" applyFill="1" applyBorder="1" applyProtection="1"/>
    <xf numFmtId="183" fontId="112" fillId="0" borderId="0" xfId="161" applyNumberFormat="1" applyFont="1"/>
    <xf numFmtId="166" fontId="112" fillId="0" borderId="0" xfId="161" applyNumberFormat="1" applyFont="1"/>
    <xf numFmtId="4" fontId="112" fillId="0" borderId="0" xfId="161" applyNumberFormat="1" applyFont="1"/>
    <xf numFmtId="0" fontId="112" fillId="0" borderId="0" xfId="1" applyFont="1"/>
    <xf numFmtId="165" fontId="112" fillId="0" borderId="0" xfId="173" applyNumberFormat="1" applyFont="1"/>
    <xf numFmtId="14" fontId="115" fillId="0" borderId="17" xfId="161" applyNumberFormat="1" applyFont="1" applyBorder="1" applyAlignment="1">
      <alignment horizontal="center"/>
    </xf>
    <xf numFmtId="190" fontId="114" fillId="0" borderId="11" xfId="68" applyNumberFormat="1" applyFont="1" applyBorder="1" applyProtection="1"/>
    <xf numFmtId="14" fontId="115" fillId="0" borderId="14" xfId="161" applyNumberFormat="1" applyFont="1" applyBorder="1" applyAlignment="1">
      <alignment horizontal="center"/>
    </xf>
    <xf numFmtId="181" fontId="115" fillId="0" borderId="14" xfId="161" applyNumberFormat="1" applyFont="1" applyBorder="1" applyAlignment="1">
      <alignment horizontal="center"/>
    </xf>
    <xf numFmtId="181" fontId="115" fillId="0" borderId="17" xfId="161" applyNumberFormat="1" applyFont="1" applyBorder="1" applyAlignment="1">
      <alignment horizontal="center"/>
    </xf>
    <xf numFmtId="0" fontId="59" fillId="0" borderId="0" xfId="74" applyNumberFormat="1" applyFont="1" applyFill="1" applyBorder="1" applyAlignment="1"/>
    <xf numFmtId="0" fontId="40" fillId="0" borderId="0" xfId="160"/>
    <xf numFmtId="0" fontId="40" fillId="0" borderId="0" xfId="160" applyAlignment="1">
      <alignment horizontal="center"/>
    </xf>
    <xf numFmtId="0" fontId="39" fillId="0" borderId="0" xfId="74" applyNumberFormat="1" applyFont="1" applyFill="1" applyBorder="1" applyAlignment="1">
      <alignment horizontal="left"/>
    </xf>
    <xf numFmtId="14" fontId="40" fillId="0" borderId="0" xfId="160" applyNumberFormat="1"/>
    <xf numFmtId="4" fontId="40" fillId="0" borderId="0" xfId="160" applyNumberFormat="1" applyAlignment="1">
      <alignment horizontal="center"/>
    </xf>
    <xf numFmtId="10" fontId="40" fillId="0" borderId="0" xfId="178" applyNumberFormat="1" applyFont="1" applyFill="1"/>
    <xf numFmtId="10" fontId="40" fillId="0" borderId="0" xfId="178" applyNumberFormat="1" applyFont="1" applyFill="1" applyBorder="1"/>
    <xf numFmtId="0" fontId="55" fillId="0" borderId="3" xfId="160" applyFont="1" applyBorder="1" applyAlignment="1">
      <alignment horizontal="center"/>
    </xf>
    <xf numFmtId="0" fontId="40" fillId="0" borderId="0" xfId="74" applyNumberFormat="1" applyFont="1" applyFill="1" applyBorder="1" applyAlignment="1">
      <alignment horizontal="left"/>
    </xf>
    <xf numFmtId="0" fontId="40" fillId="0" borderId="4" xfId="160" applyBorder="1"/>
    <xf numFmtId="14" fontId="40" fillId="0" borderId="4" xfId="160" applyNumberFormat="1" applyBorder="1"/>
    <xf numFmtId="0" fontId="39" fillId="0" borderId="27" xfId="160" applyFont="1" applyBorder="1" applyAlignment="1">
      <alignment horizontal="left"/>
    </xf>
    <xf numFmtId="0" fontId="39" fillId="0" borderId="14" xfId="160" applyFont="1" applyBorder="1" applyAlignment="1">
      <alignment horizontal="left"/>
    </xf>
    <xf numFmtId="0" fontId="39" fillId="0" borderId="14" xfId="160" applyFont="1" applyBorder="1" applyAlignment="1">
      <alignment horizontal="center"/>
    </xf>
    <xf numFmtId="0" fontId="18" fillId="0" borderId="38" xfId="160" applyFont="1" applyBorder="1" applyAlignment="1">
      <alignment horizontal="left"/>
    </xf>
    <xf numFmtId="0" fontId="18" fillId="0" borderId="4" xfId="160" applyFont="1" applyBorder="1" applyAlignment="1">
      <alignment horizontal="left"/>
    </xf>
    <xf numFmtId="14" fontId="39" fillId="0" borderId="4" xfId="160" applyNumberFormat="1" applyFont="1" applyBorder="1" applyAlignment="1">
      <alignment horizontal="center"/>
    </xf>
    <xf numFmtId="14" fontId="39" fillId="0" borderId="38" xfId="160" applyNumberFormat="1" applyFont="1" applyBorder="1" applyAlignment="1">
      <alignment horizontal="center"/>
    </xf>
    <xf numFmtId="14" fontId="39" fillId="0" borderId="50" xfId="160" applyNumberFormat="1" applyFont="1" applyBorder="1" applyAlignment="1">
      <alignment horizontal="center"/>
    </xf>
    <xf numFmtId="0" fontId="72" fillId="0" borderId="10" xfId="160" applyFont="1" applyBorder="1"/>
    <xf numFmtId="0" fontId="72" fillId="0" borderId="0" xfId="160" applyFont="1"/>
    <xf numFmtId="186" fontId="40" fillId="0" borderId="0" xfId="74" applyNumberFormat="1" applyFont="1" applyFill="1" applyBorder="1" applyAlignment="1">
      <alignment horizontal="right" indent="1"/>
    </xf>
    <xf numFmtId="177" fontId="40" fillId="0" borderId="0" xfId="160" applyNumberFormat="1" applyAlignment="1">
      <alignment horizontal="center"/>
    </xf>
    <xf numFmtId="174" fontId="40" fillId="0" borderId="0" xfId="160" applyNumberFormat="1"/>
    <xf numFmtId="39" fontId="40" fillId="0" borderId="0" xfId="160" applyNumberFormat="1"/>
    <xf numFmtId="186" fontId="40" fillId="0" borderId="0" xfId="74" applyNumberFormat="1" applyFont="1" applyFill="1" applyBorder="1" applyAlignment="1">
      <alignment horizontal="center"/>
    </xf>
    <xf numFmtId="186" fontId="40" fillId="0" borderId="0" xfId="74" applyNumberFormat="1" applyFont="1" applyFill="1" applyBorder="1" applyAlignment="1"/>
    <xf numFmtId="213" fontId="55" fillId="0" borderId="10" xfId="160" applyNumberFormat="1" applyFont="1" applyBorder="1" applyAlignment="1">
      <alignment horizontal="center"/>
    </xf>
    <xf numFmtId="0" fontId="40" fillId="0" borderId="12" xfId="160" applyBorder="1"/>
    <xf numFmtId="0" fontId="40" fillId="0" borderId="10" xfId="160" applyBorder="1" applyAlignment="1">
      <alignment horizontal="left"/>
    </xf>
    <xf numFmtId="0" fontId="40" fillId="0" borderId="0" xfId="160" applyAlignment="1">
      <alignment horizontal="left"/>
    </xf>
    <xf numFmtId="214" fontId="41" fillId="0" borderId="0" xfId="160" applyNumberFormat="1" applyFont="1" applyAlignment="1">
      <alignment horizontal="center"/>
    </xf>
    <xf numFmtId="174" fontId="40" fillId="0" borderId="0" xfId="160" applyNumberFormat="1" applyAlignment="1">
      <alignment horizontal="center"/>
    </xf>
    <xf numFmtId="39" fontId="41" fillId="0" borderId="0" xfId="160" quotePrefix="1" applyNumberFormat="1" applyFont="1" applyAlignment="1">
      <alignment horizontal="center"/>
    </xf>
    <xf numFmtId="215" fontId="40" fillId="0" borderId="0" xfId="160" quotePrefix="1" applyNumberFormat="1" applyAlignment="1">
      <alignment horizontal="center"/>
    </xf>
    <xf numFmtId="176" fontId="40" fillId="0" borderId="10" xfId="160" applyNumberFormat="1" applyBorder="1" applyAlignment="1">
      <alignment horizontal="center"/>
    </xf>
    <xf numFmtId="176" fontId="40" fillId="0" borderId="12" xfId="160" applyNumberFormat="1" applyBorder="1" applyAlignment="1">
      <alignment horizontal="center"/>
    </xf>
    <xf numFmtId="0" fontId="18" fillId="0" borderId="0" xfId="160" applyFont="1"/>
    <xf numFmtId="0" fontId="39" fillId="0" borderId="10" xfId="160" applyFont="1" applyBorder="1" applyAlignment="1">
      <alignment horizontal="left" indent="1"/>
    </xf>
    <xf numFmtId="0" fontId="39" fillId="0" borderId="0" xfId="160" applyFont="1" applyAlignment="1">
      <alignment horizontal="left" indent="1"/>
    </xf>
    <xf numFmtId="177" fontId="55" fillId="0" borderId="0" xfId="160" applyNumberFormat="1" applyFont="1" applyAlignment="1">
      <alignment horizontal="right"/>
    </xf>
    <xf numFmtId="174" fontId="55" fillId="0" borderId="0" xfId="160" applyNumberFormat="1" applyFont="1"/>
    <xf numFmtId="39" fontId="55" fillId="0" borderId="0" xfId="160" applyNumberFormat="1" applyFont="1"/>
    <xf numFmtId="186" fontId="39" fillId="0" borderId="0" xfId="74" applyNumberFormat="1" applyFont="1" applyFill="1" applyBorder="1"/>
    <xf numFmtId="167" fontId="39" fillId="0" borderId="10" xfId="160" applyNumberFormat="1" applyFont="1" applyBorder="1" applyAlignment="1">
      <alignment horizontal="center"/>
    </xf>
    <xf numFmtId="167" fontId="39" fillId="0" borderId="12" xfId="160" applyNumberFormat="1" applyFont="1" applyBorder="1" applyAlignment="1">
      <alignment horizontal="center"/>
    </xf>
    <xf numFmtId="0" fontId="39" fillId="0" borderId="0" xfId="160" applyFont="1"/>
    <xf numFmtId="186" fontId="39" fillId="0" borderId="0" xfId="74" applyNumberFormat="1" applyFont="1" applyFill="1" applyBorder="1" applyAlignment="1">
      <alignment horizontal="right" indent="1"/>
    </xf>
    <xf numFmtId="216" fontId="39" fillId="0" borderId="0" xfId="160" applyNumberFormat="1" applyFont="1" applyAlignment="1">
      <alignment horizontal="right"/>
    </xf>
    <xf numFmtId="14" fontId="55" fillId="0" borderId="0" xfId="160" applyNumberFormat="1" applyFont="1" applyAlignment="1">
      <alignment horizontal="right"/>
    </xf>
    <xf numFmtId="206" fontId="55" fillId="0" borderId="0" xfId="160" applyNumberFormat="1" applyFont="1" applyAlignment="1">
      <alignment horizontal="right"/>
    </xf>
    <xf numFmtId="14" fontId="39" fillId="0" borderId="0" xfId="160" applyNumberFormat="1" applyFont="1" applyAlignment="1">
      <alignment horizontal="right"/>
    </xf>
    <xf numFmtId="217" fontId="55" fillId="0" borderId="12" xfId="160" applyNumberFormat="1" applyFont="1" applyBorder="1" applyAlignment="1">
      <alignment horizontal="center"/>
    </xf>
    <xf numFmtId="0" fontId="40" fillId="11" borderId="10" xfId="160" applyFill="1" applyBorder="1" applyAlignment="1">
      <alignment horizontal="left"/>
    </xf>
    <xf numFmtId="0" fontId="40" fillId="11" borderId="0" xfId="160" applyFill="1" applyAlignment="1">
      <alignment horizontal="left"/>
    </xf>
    <xf numFmtId="10" fontId="41" fillId="11" borderId="0" xfId="160" applyNumberFormat="1" applyFont="1" applyFill="1" applyAlignment="1">
      <alignment horizontal="center"/>
    </xf>
    <xf numFmtId="174" fontId="40" fillId="11" borderId="0" xfId="160" applyNumberFormat="1" applyFill="1" applyAlignment="1">
      <alignment horizontal="center"/>
    </xf>
    <xf numFmtId="39" fontId="41" fillId="11" borderId="0" xfId="160" quotePrefix="1" applyNumberFormat="1" applyFont="1" applyFill="1" applyAlignment="1">
      <alignment horizontal="center"/>
    </xf>
    <xf numFmtId="215" fontId="40" fillId="11" borderId="0" xfId="160" quotePrefix="1" applyNumberFormat="1" applyFill="1" applyAlignment="1">
      <alignment horizontal="center"/>
    </xf>
    <xf numFmtId="176" fontId="40" fillId="11" borderId="10" xfId="160" applyNumberFormat="1" applyFill="1" applyBorder="1" applyAlignment="1">
      <alignment horizontal="center"/>
    </xf>
    <xf numFmtId="176" fontId="40" fillId="11" borderId="12" xfId="160" applyNumberFormat="1" applyFill="1" applyBorder="1" applyAlignment="1">
      <alignment horizontal="center"/>
    </xf>
    <xf numFmtId="0" fontId="39" fillId="11" borderId="10" xfId="160" applyFont="1" applyFill="1" applyBorder="1" applyAlignment="1">
      <alignment horizontal="left" indent="1"/>
    </xf>
    <xf numFmtId="0" fontId="39" fillId="11" borderId="0" xfId="160" applyFont="1" applyFill="1" applyAlignment="1">
      <alignment horizontal="left" indent="1"/>
    </xf>
    <xf numFmtId="177" fontId="55" fillId="11" borderId="0" xfId="160" applyNumberFormat="1" applyFont="1" applyFill="1" applyAlignment="1">
      <alignment horizontal="right"/>
    </xf>
    <xf numFmtId="174" fontId="55" fillId="11" borderId="0" xfId="160" applyNumberFormat="1" applyFont="1" applyFill="1"/>
    <xf numFmtId="39" fontId="55" fillId="11" borderId="0" xfId="160" applyNumberFormat="1" applyFont="1" applyFill="1"/>
    <xf numFmtId="186" fontId="39" fillId="11" borderId="0" xfId="74" applyNumberFormat="1" applyFont="1" applyFill="1" applyBorder="1"/>
    <xf numFmtId="167" fontId="39" fillId="11" borderId="10" xfId="160" applyNumberFormat="1" applyFont="1" applyFill="1" applyBorder="1" applyAlignment="1">
      <alignment horizontal="center"/>
    </xf>
    <xf numFmtId="167" fontId="39" fillId="11" borderId="12" xfId="160" applyNumberFormat="1" applyFont="1" applyFill="1" applyBorder="1" applyAlignment="1">
      <alignment horizontal="center"/>
    </xf>
    <xf numFmtId="218" fontId="39" fillId="0" borderId="0" xfId="74" applyNumberFormat="1" applyFont="1" applyFill="1" applyBorder="1" applyAlignment="1">
      <alignment horizontal="right" indent="1"/>
    </xf>
    <xf numFmtId="206" fontId="39" fillId="0" borderId="0" xfId="160" applyNumberFormat="1" applyFont="1"/>
    <xf numFmtId="39" fontId="41" fillId="0" borderId="0" xfId="160" applyNumberFormat="1" applyFont="1"/>
    <xf numFmtId="186" fontId="40" fillId="0" borderId="0" xfId="74" applyNumberFormat="1" applyFont="1" applyFill="1" applyBorder="1"/>
    <xf numFmtId="164" fontId="39" fillId="0" borderId="0" xfId="74" applyNumberFormat="1" applyFont="1" applyFill="1" applyBorder="1" applyAlignment="1">
      <alignment horizontal="right" indent="1"/>
    </xf>
    <xf numFmtId="164" fontId="40" fillId="0" borderId="0" xfId="160" applyNumberFormat="1"/>
    <xf numFmtId="164" fontId="41" fillId="0" borderId="0" xfId="160" applyNumberFormat="1" applyFont="1"/>
    <xf numFmtId="164" fontId="40" fillId="0" borderId="0" xfId="74" applyNumberFormat="1" applyFont="1" applyFill="1" applyBorder="1"/>
    <xf numFmtId="0" fontId="39" fillId="0" borderId="38" xfId="160" applyFont="1" applyBorder="1" applyAlignment="1">
      <alignment horizontal="left" indent="1"/>
    </xf>
    <xf numFmtId="0" fontId="39" fillId="0" borderId="4" xfId="160" applyFont="1" applyBorder="1" applyAlignment="1">
      <alignment horizontal="left" indent="1"/>
    </xf>
    <xf numFmtId="164" fontId="39" fillId="0" borderId="4" xfId="74" applyNumberFormat="1" applyFont="1" applyFill="1" applyBorder="1" applyAlignment="1">
      <alignment horizontal="right" indent="2"/>
    </xf>
    <xf numFmtId="164" fontId="39" fillId="0" borderId="4" xfId="74" applyNumberFormat="1" applyFont="1" applyFill="1" applyBorder="1" applyAlignment="1">
      <alignment horizontal="right" indent="1"/>
    </xf>
    <xf numFmtId="164" fontId="40" fillId="0" borderId="4" xfId="160" applyNumberFormat="1" applyBorder="1"/>
    <xf numFmtId="164" fontId="41" fillId="0" borderId="4" xfId="160" applyNumberFormat="1" applyFont="1" applyBorder="1"/>
    <xf numFmtId="164" fontId="40" fillId="0" borderId="4" xfId="74" applyNumberFormat="1" applyFont="1" applyFill="1" applyBorder="1"/>
    <xf numFmtId="167" fontId="39" fillId="0" borderId="38" xfId="160" applyNumberFormat="1" applyFont="1" applyBorder="1" applyAlignment="1">
      <alignment horizontal="center"/>
    </xf>
    <xf numFmtId="167" fontId="39" fillId="0" borderId="50" xfId="160" applyNumberFormat="1" applyFont="1" applyBorder="1" applyAlignment="1">
      <alignment horizontal="center"/>
    </xf>
    <xf numFmtId="0" fontId="73" fillId="0" borderId="27" xfId="160" applyFont="1" applyBorder="1"/>
    <xf numFmtId="0" fontId="73" fillId="0" borderId="0" xfId="160" applyFont="1"/>
    <xf numFmtId="0" fontId="39" fillId="0" borderId="8" xfId="160" applyFont="1" applyBorder="1" applyAlignment="1">
      <alignment horizontal="centerContinuous"/>
    </xf>
    <xf numFmtId="0" fontId="40" fillId="0" borderId="14" xfId="160" applyBorder="1" applyAlignment="1">
      <alignment horizontal="centerContinuous"/>
    </xf>
    <xf numFmtId="0" fontId="40" fillId="0" borderId="28" xfId="160" applyBorder="1"/>
    <xf numFmtId="0" fontId="73" fillId="0" borderId="14" xfId="160" applyFont="1" applyBorder="1" applyAlignment="1">
      <alignment horizontal="left" indent="1"/>
    </xf>
    <xf numFmtId="0" fontId="40" fillId="0" borderId="14" xfId="160" applyBorder="1"/>
    <xf numFmtId="0" fontId="73" fillId="0" borderId="27" xfId="160" applyFont="1" applyBorder="1" applyAlignment="1">
      <alignment horizontal="left" indent="1"/>
    </xf>
    <xf numFmtId="0" fontId="40" fillId="0" borderId="10" xfId="160" applyBorder="1" applyAlignment="1">
      <alignment horizontal="left" indent="1"/>
    </xf>
    <xf numFmtId="0" fontId="40" fillId="0" borderId="0" xfId="160" applyAlignment="1">
      <alignment horizontal="left" indent="1"/>
    </xf>
    <xf numFmtId="219" fontId="40" fillId="0" borderId="14" xfId="74" applyNumberFormat="1" applyFont="1" applyFill="1" applyBorder="1" applyAlignment="1">
      <alignment horizontal="right" indent="2"/>
    </xf>
    <xf numFmtId="206" fontId="41" fillId="0" borderId="0" xfId="74" applyNumberFormat="1" applyFont="1" applyFill="1" applyBorder="1" applyAlignment="1">
      <alignment horizontal="right" indent="2"/>
    </xf>
    <xf numFmtId="220" fontId="40" fillId="0" borderId="10" xfId="74" applyNumberFormat="1" applyFont="1" applyFill="1" applyBorder="1" applyAlignment="1">
      <alignment horizontal="left" indent="2"/>
    </xf>
    <xf numFmtId="219" fontId="40" fillId="0" borderId="0" xfId="74" applyNumberFormat="1" applyFont="1" applyFill="1" applyBorder="1" applyAlignment="1">
      <alignment horizontal="right" indent="2"/>
    </xf>
    <xf numFmtId="0" fontId="40" fillId="0" borderId="4" xfId="160" applyBorder="1" applyAlignment="1">
      <alignment horizontal="left" indent="1"/>
    </xf>
    <xf numFmtId="164" fontId="39" fillId="0" borderId="0" xfId="74" applyNumberFormat="1" applyFont="1" applyFill="1" applyBorder="1" applyAlignment="1">
      <alignment horizontal="right" indent="2"/>
    </xf>
    <xf numFmtId="206" fontId="40" fillId="0" borderId="4" xfId="160" applyNumberFormat="1" applyBorder="1" applyAlignment="1">
      <alignment horizontal="right" indent="2"/>
    </xf>
    <xf numFmtId="0" fontId="40" fillId="0" borderId="10" xfId="160" applyBorder="1" applyAlignment="1">
      <alignment horizontal="left" indent="2"/>
    </xf>
    <xf numFmtId="0" fontId="39" fillId="0" borderId="10" xfId="160" applyFont="1" applyBorder="1" applyAlignment="1">
      <alignment horizontal="left" indent="2"/>
    </xf>
    <xf numFmtId="0" fontId="39" fillId="0" borderId="0" xfId="160" applyFont="1" applyAlignment="1">
      <alignment horizontal="left" indent="2"/>
    </xf>
    <xf numFmtId="0" fontId="40" fillId="0" borderId="10" xfId="160" applyBorder="1"/>
    <xf numFmtId="0" fontId="40" fillId="0" borderId="0" xfId="160" applyAlignment="1">
      <alignment horizontal="left" indent="2"/>
    </xf>
    <xf numFmtId="218" fontId="40" fillId="0" borderId="0" xfId="74" applyNumberFormat="1" applyFont="1" applyFill="1" applyBorder="1" applyAlignment="1"/>
    <xf numFmtId="190" fontId="40" fillId="0" borderId="0" xfId="74" applyNumberFormat="1" applyFont="1" applyFill="1" applyBorder="1"/>
    <xf numFmtId="0" fontId="40" fillId="0" borderId="50" xfId="160" applyBorder="1"/>
    <xf numFmtId="213" fontId="40" fillId="0" borderId="0" xfId="74" applyNumberFormat="1" applyFont="1" applyFill="1" applyBorder="1" applyAlignment="1"/>
    <xf numFmtId="218" fontId="40" fillId="0" borderId="38" xfId="74" applyNumberFormat="1" applyFont="1" applyFill="1" applyBorder="1" applyAlignment="1"/>
    <xf numFmtId="0" fontId="39" fillId="6" borderId="51" xfId="160" applyFont="1" applyFill="1" applyBorder="1"/>
    <xf numFmtId="0" fontId="39" fillId="6" borderId="8" xfId="160" applyFont="1" applyFill="1" applyBorder="1"/>
    <xf numFmtId="0" fontId="41" fillId="0" borderId="0" xfId="160" applyFont="1"/>
    <xf numFmtId="0" fontId="39" fillId="0" borderId="10" xfId="160" applyFont="1" applyBorder="1"/>
    <xf numFmtId="0" fontId="52" fillId="0" borderId="10" xfId="160" applyFont="1" applyBorder="1" applyAlignment="1">
      <alignment horizontal="left" indent="2"/>
    </xf>
    <xf numFmtId="0" fontId="52" fillId="0" borderId="0" xfId="160" applyFont="1"/>
    <xf numFmtId="225" fontId="40" fillId="0" borderId="0" xfId="160" applyNumberFormat="1"/>
    <xf numFmtId="2" fontId="75" fillId="0" borderId="0" xfId="160" applyNumberFormat="1" applyFont="1" applyAlignment="1">
      <alignment horizontal="left" indent="1"/>
    </xf>
    <xf numFmtId="0" fontId="75" fillId="0" borderId="0" xfId="160" applyFont="1"/>
    <xf numFmtId="2" fontId="40" fillId="0" borderId="0" xfId="160" applyNumberFormat="1" applyAlignment="1">
      <alignment horizontal="left" indent="1"/>
    </xf>
    <xf numFmtId="224" fontId="40" fillId="0" borderId="0" xfId="160" applyNumberFormat="1"/>
    <xf numFmtId="2" fontId="39" fillId="0" borderId="10" xfId="160" applyNumberFormat="1" applyFont="1" applyBorder="1" applyAlignment="1">
      <alignment horizontal="left" indent="2"/>
    </xf>
    <xf numFmtId="2" fontId="39" fillId="0" borderId="0" xfId="160" applyNumberFormat="1" applyFont="1" applyAlignment="1">
      <alignment horizontal="left" indent="1"/>
    </xf>
    <xf numFmtId="0" fontId="52" fillId="0" borderId="0" xfId="160" applyFont="1" applyAlignment="1">
      <alignment horizontal="left" indent="2"/>
    </xf>
    <xf numFmtId="203" fontId="40" fillId="0" borderId="0" xfId="160" applyNumberFormat="1" applyAlignment="1">
      <alignment horizontal="left" indent="1"/>
    </xf>
    <xf numFmtId="0" fontId="39" fillId="0" borderId="38" xfId="160" applyFont="1" applyBorder="1" applyAlignment="1">
      <alignment horizontal="left" indent="2"/>
    </xf>
    <xf numFmtId="0" fontId="39" fillId="0" borderId="4" xfId="160" applyFont="1" applyBorder="1" applyAlignment="1">
      <alignment horizontal="left" indent="2"/>
    </xf>
    <xf numFmtId="0" fontId="40" fillId="0" borderId="38" xfId="160" applyBorder="1"/>
    <xf numFmtId="2" fontId="40" fillId="0" borderId="0" xfId="160" applyNumberFormat="1"/>
    <xf numFmtId="0" fontId="42" fillId="11" borderId="0" xfId="2" applyFont="1" applyFill="1"/>
    <xf numFmtId="0" fontId="0" fillId="11" borderId="0" xfId="2" applyFont="1" applyFill="1"/>
    <xf numFmtId="0" fontId="34" fillId="11" borderId="0" xfId="2" applyFont="1" applyFill="1"/>
    <xf numFmtId="0" fontId="34" fillId="11" borderId="0" xfId="2" applyFont="1" applyFill="1" applyAlignment="1">
      <alignment horizontal="center"/>
    </xf>
    <xf numFmtId="0" fontId="40" fillId="11" borderId="27" xfId="2" applyFill="1" applyBorder="1"/>
    <xf numFmtId="0" fontId="40" fillId="11" borderId="14" xfId="2" applyFill="1" applyBorder="1"/>
    <xf numFmtId="0" fontId="40" fillId="11" borderId="28" xfId="2" applyFill="1" applyBorder="1"/>
    <xf numFmtId="0" fontId="40" fillId="11" borderId="0" xfId="2" applyFill="1"/>
    <xf numFmtId="0" fontId="40" fillId="11" borderId="0" xfId="2" applyFill="1" applyAlignment="1">
      <alignment vertical="top" wrapText="1"/>
    </xf>
    <xf numFmtId="0" fontId="40" fillId="11" borderId="10" xfId="2" applyFill="1" applyBorder="1"/>
    <xf numFmtId="0" fontId="40" fillId="11" borderId="12" xfId="2" applyFill="1" applyBorder="1"/>
    <xf numFmtId="0" fontId="40" fillId="11" borderId="29" xfId="2" applyFill="1" applyBorder="1"/>
    <xf numFmtId="0" fontId="40" fillId="11" borderId="31" xfId="2" applyFill="1" applyBorder="1" applyAlignment="1">
      <alignment horizontal="center"/>
    </xf>
    <xf numFmtId="14" fontId="41" fillId="11" borderId="10" xfId="2" applyNumberFormat="1" applyFont="1" applyFill="1" applyBorder="1" applyAlignment="1">
      <alignment horizontal="left"/>
    </xf>
    <xf numFmtId="201" fontId="40" fillId="11" borderId="12" xfId="2" quotePrefix="1" applyNumberFormat="1" applyFill="1" applyBorder="1" applyAlignment="1">
      <alignment horizontal="right"/>
    </xf>
    <xf numFmtId="201" fontId="40" fillId="11" borderId="12" xfId="2" applyNumberFormat="1" applyFill="1" applyBorder="1" applyAlignment="1">
      <alignment horizontal="right"/>
    </xf>
    <xf numFmtId="190" fontId="40" fillId="11" borderId="12" xfId="73" quotePrefix="1" applyNumberFormat="1" applyFont="1" applyFill="1" applyBorder="1" applyAlignment="1">
      <alignment horizontal="right"/>
    </xf>
    <xf numFmtId="190" fontId="40" fillId="11" borderId="12" xfId="73" applyNumberFormat="1" applyFont="1" applyFill="1" applyBorder="1" applyAlignment="1">
      <alignment horizontal="right"/>
    </xf>
    <xf numFmtId="14" fontId="40" fillId="11" borderId="10" xfId="2" applyNumberFormat="1" applyFill="1" applyBorder="1" applyAlignment="1">
      <alignment horizontal="left"/>
    </xf>
    <xf numFmtId="14" fontId="40" fillId="11" borderId="29" xfId="2" applyNumberFormat="1" applyFill="1" applyBorder="1" applyAlignment="1">
      <alignment horizontal="left"/>
    </xf>
    <xf numFmtId="201" fontId="40" fillId="11" borderId="31" xfId="2" quotePrefix="1" applyNumberFormat="1" applyFill="1" applyBorder="1" applyAlignment="1">
      <alignment horizontal="right"/>
    </xf>
    <xf numFmtId="201" fontId="40" fillId="11" borderId="31" xfId="2" applyNumberFormat="1" applyFill="1" applyBorder="1" applyAlignment="1">
      <alignment horizontal="right"/>
    </xf>
    <xf numFmtId="190" fontId="40" fillId="11" borderId="31" xfId="73" quotePrefix="1" applyNumberFormat="1" applyFont="1" applyFill="1" applyBorder="1" applyAlignment="1">
      <alignment horizontal="right"/>
    </xf>
    <xf numFmtId="190" fontId="40" fillId="11" borderId="31" xfId="73" applyNumberFormat="1" applyFont="1" applyFill="1" applyBorder="1" applyAlignment="1">
      <alignment horizontal="right"/>
    </xf>
    <xf numFmtId="14" fontId="40" fillId="11" borderId="0" xfId="2" applyNumberFormat="1" applyFill="1" applyAlignment="1">
      <alignment horizontal="left"/>
    </xf>
    <xf numFmtId="45" fontId="40" fillId="11" borderId="0" xfId="2" quotePrefix="1" applyNumberFormat="1" applyFill="1" applyAlignment="1">
      <alignment horizontal="right"/>
    </xf>
    <xf numFmtId="45" fontId="40" fillId="11" borderId="0" xfId="2" applyNumberFormat="1" applyFill="1" applyAlignment="1">
      <alignment horizontal="right"/>
    </xf>
    <xf numFmtId="14" fontId="40" fillId="11" borderId="52" xfId="2" applyNumberFormat="1" applyFill="1" applyBorder="1" applyAlignment="1">
      <alignment horizontal="left"/>
    </xf>
    <xf numFmtId="0" fontId="54" fillId="11" borderId="0" xfId="2" applyFont="1" applyFill="1"/>
    <xf numFmtId="0" fontId="0" fillId="11" borderId="0" xfId="2" applyFont="1" applyFill="1" applyAlignment="1">
      <alignment vertical="top"/>
    </xf>
    <xf numFmtId="180" fontId="24" fillId="0" borderId="0" xfId="162" applyFont="1" applyAlignment="1">
      <alignment horizontal="left"/>
    </xf>
    <xf numFmtId="10" fontId="34" fillId="11" borderId="0" xfId="2" applyNumberFormat="1" applyFont="1" applyFill="1" applyAlignment="1">
      <alignment horizontal="center" vertical="top" wrapText="1"/>
    </xf>
    <xf numFmtId="0" fontId="34" fillId="11" borderId="0" xfId="2" applyFont="1" applyFill="1" applyAlignment="1">
      <alignment horizontal="center" vertical="top" wrapText="1"/>
    </xf>
    <xf numFmtId="0" fontId="34" fillId="11" borderId="0" xfId="2" applyFont="1" applyFill="1" applyAlignment="1">
      <alignment horizontal="center" vertical="top"/>
    </xf>
    <xf numFmtId="0" fontId="0" fillId="11" borderId="0" xfId="2" applyFont="1" applyFill="1" applyAlignment="1">
      <alignment vertical="top" wrapText="1"/>
    </xf>
    <xf numFmtId="0" fontId="0" fillId="11" borderId="27" xfId="2" applyFont="1" applyFill="1" applyBorder="1" applyAlignment="1">
      <alignment vertical="top" wrapText="1"/>
    </xf>
    <xf numFmtId="0" fontId="0" fillId="11" borderId="28" xfId="2" applyFont="1" applyFill="1" applyBorder="1" applyAlignment="1">
      <alignment vertical="top" wrapText="1"/>
    </xf>
    <xf numFmtId="0" fontId="0" fillId="11" borderId="0" xfId="2" applyFont="1" applyFill="1" applyAlignment="1">
      <alignment horizontal="center" vertical="top" wrapText="1"/>
    </xf>
    <xf numFmtId="0" fontId="0" fillId="11" borderId="38" xfId="2" applyFont="1" applyFill="1" applyBorder="1" applyAlignment="1">
      <alignment vertical="top" wrapText="1"/>
    </xf>
    <xf numFmtId="0" fontId="0" fillId="11" borderId="50" xfId="2" applyFont="1" applyFill="1" applyBorder="1" applyAlignment="1">
      <alignment vertical="top" wrapText="1"/>
    </xf>
    <xf numFmtId="0" fontId="0" fillId="11" borderId="10" xfId="2" applyFont="1" applyFill="1" applyBorder="1" applyAlignment="1">
      <alignment vertical="top" wrapText="1"/>
    </xf>
    <xf numFmtId="0" fontId="0" fillId="0" borderId="0" xfId="2" applyFont="1" applyAlignment="1">
      <alignment vertical="top" wrapText="1"/>
    </xf>
    <xf numFmtId="0" fontId="0" fillId="11" borderId="12" xfId="2" applyFont="1" applyFill="1" applyBorder="1" applyAlignment="1">
      <alignment vertical="top" wrapText="1"/>
    </xf>
    <xf numFmtId="0" fontId="0" fillId="11" borderId="0" xfId="2" applyFont="1" applyFill="1" applyAlignment="1">
      <alignment horizontal="center" vertical="top"/>
    </xf>
    <xf numFmtId="0" fontId="0" fillId="11" borderId="12" xfId="2" applyFont="1" applyFill="1" applyBorder="1" applyAlignment="1">
      <alignment horizontal="left" vertical="top" wrapText="1"/>
    </xf>
    <xf numFmtId="0" fontId="0" fillId="11" borderId="27" xfId="2" applyFont="1" applyFill="1" applyBorder="1" applyAlignment="1">
      <alignment vertical="top"/>
    </xf>
    <xf numFmtId="0" fontId="0" fillId="11" borderId="14" xfId="2" applyFont="1" applyFill="1" applyBorder="1" applyAlignment="1">
      <alignment vertical="top"/>
    </xf>
    <xf numFmtId="0" fontId="0" fillId="0" borderId="28" xfId="2" applyFont="1" applyBorder="1" applyAlignment="1">
      <alignment vertical="top" wrapText="1"/>
    </xf>
    <xf numFmtId="0" fontId="0" fillId="11" borderId="10" xfId="2" applyFont="1" applyFill="1" applyBorder="1" applyAlignment="1">
      <alignment vertical="top"/>
    </xf>
    <xf numFmtId="0" fontId="0" fillId="11" borderId="38" xfId="2" applyFont="1" applyFill="1" applyBorder="1"/>
    <xf numFmtId="0" fontId="0" fillId="11" borderId="50" xfId="2" applyFont="1" applyFill="1" applyBorder="1" applyAlignment="1">
      <alignment wrapText="1"/>
    </xf>
    <xf numFmtId="0" fontId="0" fillId="11" borderId="4" xfId="2" applyFont="1" applyFill="1" applyBorder="1"/>
    <xf numFmtId="0" fontId="34" fillId="11" borderId="10" xfId="2" applyFont="1" applyFill="1" applyBorder="1" applyAlignment="1">
      <alignment vertical="top" wrapText="1"/>
    </xf>
    <xf numFmtId="221" fontId="40" fillId="0" borderId="4" xfId="160" applyNumberFormat="1" applyBorder="1" applyAlignment="1">
      <alignment horizontal="right" indent="2"/>
    </xf>
    <xf numFmtId="3" fontId="40" fillId="0" borderId="10" xfId="160" applyNumberFormat="1" applyBorder="1" applyAlignment="1">
      <alignment horizontal="left" indent="1"/>
    </xf>
    <xf numFmtId="186" fontId="40" fillId="0" borderId="0" xfId="68" applyNumberFormat="1" applyFont="1" applyFill="1" applyBorder="1" applyAlignment="1">
      <alignment horizontal="right" indent="1"/>
    </xf>
    <xf numFmtId="186" fontId="40" fillId="0" borderId="12" xfId="68" applyNumberFormat="1" applyFont="1" applyFill="1" applyBorder="1" applyAlignment="1">
      <alignment horizontal="right" indent="1"/>
    </xf>
    <xf numFmtId="186" fontId="39" fillId="0" borderId="0" xfId="68" applyNumberFormat="1" applyFont="1" applyFill="1" applyBorder="1" applyAlignment="1">
      <alignment horizontal="right" indent="1"/>
    </xf>
    <xf numFmtId="190" fontId="36" fillId="11" borderId="11" xfId="68" applyNumberFormat="1" applyFont="1" applyFill="1" applyBorder="1" applyAlignment="1" applyProtection="1">
      <alignment horizontal="center"/>
    </xf>
    <xf numFmtId="264" fontId="36" fillId="0" borderId="14" xfId="161" applyNumberFormat="1" applyFont="1" applyBorder="1" applyAlignment="1">
      <alignment horizontal="center"/>
    </xf>
    <xf numFmtId="264" fontId="112" fillId="0" borderId="14" xfId="161" applyNumberFormat="1" applyFont="1" applyBorder="1" applyAlignment="1">
      <alignment horizontal="center"/>
    </xf>
    <xf numFmtId="10" fontId="34" fillId="11" borderId="0" xfId="173" applyNumberFormat="1" applyFont="1" applyFill="1"/>
    <xf numFmtId="10" fontId="37" fillId="11" borderId="0" xfId="173" applyNumberFormat="1" applyFont="1" applyFill="1"/>
    <xf numFmtId="0" fontId="34" fillId="0" borderId="0" xfId="161" applyNumberFormat="1" applyFont="1"/>
    <xf numFmtId="14" fontId="36" fillId="0" borderId="18" xfId="161" applyNumberFormat="1" applyFont="1" applyBorder="1" applyAlignment="1">
      <alignment horizontal="center"/>
    </xf>
    <xf numFmtId="190" fontId="36" fillId="0" borderId="10" xfId="68" applyNumberFormat="1" applyFont="1" applyBorder="1" applyProtection="1"/>
    <xf numFmtId="190" fontId="36" fillId="0" borderId="12" xfId="68" applyNumberFormat="1" applyFont="1" applyBorder="1"/>
    <xf numFmtId="165" fontId="36" fillId="0" borderId="12" xfId="68" applyNumberFormat="1" applyFont="1" applyBorder="1" applyProtection="1"/>
    <xf numFmtId="180" fontId="36" fillId="11" borderId="0" xfId="161" applyFont="1" applyFill="1" applyAlignment="1">
      <alignment horizontal="centerContinuous"/>
    </xf>
    <xf numFmtId="190" fontId="36" fillId="0" borderId="11" xfId="68" applyNumberFormat="1" applyFont="1" applyBorder="1" applyAlignment="1" applyProtection="1">
      <alignment horizontal="left"/>
    </xf>
    <xf numFmtId="190" fontId="36" fillId="0" borderId="0" xfId="68" applyNumberFormat="1" applyFont="1" applyBorder="1" applyAlignment="1" applyProtection="1">
      <alignment horizontal="left"/>
    </xf>
    <xf numFmtId="190" fontId="36" fillId="0" borderId="0" xfId="161" applyNumberFormat="1" applyFont="1" applyAlignment="1">
      <alignment horizontal="left"/>
    </xf>
    <xf numFmtId="190" fontId="36" fillId="11" borderId="0" xfId="68" applyNumberFormat="1" applyFont="1" applyFill="1" applyBorder="1" applyAlignment="1" applyProtection="1">
      <alignment horizontal="left"/>
    </xf>
    <xf numFmtId="190" fontId="36" fillId="11" borderId="11" xfId="68" applyNumberFormat="1" applyFont="1" applyFill="1" applyBorder="1" applyAlignment="1" applyProtection="1">
      <alignment horizontal="left"/>
    </xf>
    <xf numFmtId="190" fontId="31" fillId="11" borderId="11" xfId="68" applyNumberFormat="1" applyFont="1" applyFill="1" applyBorder="1" applyProtection="1">
      <protection locked="0"/>
    </xf>
    <xf numFmtId="190" fontId="31" fillId="0" borderId="12" xfId="161" applyNumberFormat="1" applyFont="1" applyBorder="1"/>
    <xf numFmtId="190" fontId="31" fillId="0" borderId="11" xfId="68" applyNumberFormat="1" applyFont="1" applyBorder="1" applyProtection="1">
      <protection locked="0"/>
    </xf>
    <xf numFmtId="190" fontId="36" fillId="11" borderId="0" xfId="68" applyNumberFormat="1" applyFont="1" applyFill="1" applyAlignment="1" applyProtection="1">
      <alignment horizontal="right"/>
    </xf>
    <xf numFmtId="37" fontId="36" fillId="11" borderId="0" xfId="161" applyNumberFormat="1" applyFont="1" applyFill="1" applyAlignment="1">
      <alignment horizontal="right"/>
    </xf>
    <xf numFmtId="13" fontId="36" fillId="11" borderId="0" xfId="161" applyNumberFormat="1" applyFont="1" applyFill="1" applyAlignment="1">
      <alignment horizontal="center"/>
    </xf>
    <xf numFmtId="190" fontId="36" fillId="0" borderId="0" xfId="161" applyNumberFormat="1" applyFont="1" applyAlignment="1">
      <alignment horizontal="center"/>
    </xf>
    <xf numFmtId="190" fontId="36" fillId="11" borderId="14" xfId="68" applyNumberFormat="1" applyFont="1" applyFill="1" applyBorder="1" applyProtection="1"/>
    <xf numFmtId="184" fontId="36" fillId="0" borderId="0" xfId="161" applyNumberFormat="1" applyFont="1"/>
    <xf numFmtId="185" fontId="36" fillId="0" borderId="0" xfId="161" applyNumberFormat="1" applyFont="1"/>
    <xf numFmtId="188" fontId="36" fillId="0" borderId="0" xfId="68" quotePrefix="1" applyNumberFormat="1" applyFont="1" applyAlignment="1" applyProtection="1">
      <alignment horizontal="center"/>
    </xf>
    <xf numFmtId="190" fontId="36" fillId="0" borderId="0" xfId="68" quotePrefix="1" applyNumberFormat="1" applyFont="1" applyAlignment="1" applyProtection="1">
      <alignment horizontal="center"/>
    </xf>
    <xf numFmtId="189" fontId="36" fillId="0" borderId="0" xfId="161" applyNumberFormat="1" applyFont="1"/>
    <xf numFmtId="14" fontId="116" fillId="0" borderId="4" xfId="160" applyNumberFormat="1" applyFont="1" applyBorder="1" applyAlignment="1">
      <alignment horizontal="center"/>
    </xf>
    <xf numFmtId="0" fontId="116" fillId="0" borderId="27" xfId="160" applyFont="1" applyBorder="1" applyAlignment="1">
      <alignment horizontal="left"/>
    </xf>
    <xf numFmtId="213" fontId="116" fillId="0" borderId="28" xfId="160" applyNumberFormat="1" applyFont="1" applyBorder="1" applyAlignment="1">
      <alignment horizontal="center"/>
    </xf>
    <xf numFmtId="0" fontId="117" fillId="0" borderId="0" xfId="74" applyNumberFormat="1" applyFont="1" applyFill="1" applyBorder="1" applyAlignment="1"/>
    <xf numFmtId="0" fontId="40" fillId="0" borderId="0" xfId="1" applyFont="1" applyAlignment="1">
      <alignment horizontal="left" indent="2"/>
    </xf>
    <xf numFmtId="190" fontId="36" fillId="0" borderId="0" xfId="68" applyNumberFormat="1" applyFont="1"/>
    <xf numFmtId="0" fontId="31" fillId="0" borderId="0" xfId="1" applyFont="1"/>
    <xf numFmtId="190" fontId="31" fillId="0" borderId="0" xfId="68" applyNumberFormat="1" applyFont="1"/>
    <xf numFmtId="0" fontId="115" fillId="11" borderId="0" xfId="1" applyFont="1" applyFill="1"/>
    <xf numFmtId="190" fontId="21" fillId="0" borderId="0" xfId="68" applyNumberFormat="1" applyFont="1"/>
    <xf numFmtId="190" fontId="24" fillId="0" borderId="0" xfId="68" applyNumberFormat="1" applyFont="1"/>
    <xf numFmtId="190" fontId="25" fillId="0" borderId="0" xfId="68" applyNumberFormat="1" applyFont="1"/>
    <xf numFmtId="190" fontId="0" fillId="0" borderId="0" xfId="68" applyNumberFormat="1" applyFont="1"/>
    <xf numFmtId="190" fontId="0" fillId="0" borderId="0" xfId="68" applyNumberFormat="1" applyFont="1" applyAlignment="1">
      <alignment horizontal="center"/>
    </xf>
    <xf numFmtId="190" fontId="115" fillId="0" borderId="0" xfId="68" applyNumberFormat="1" applyFont="1"/>
    <xf numFmtId="186" fontId="118" fillId="0" borderId="0" xfId="68" applyNumberFormat="1" applyFont="1" applyFill="1" applyBorder="1" applyAlignment="1">
      <alignment horizontal="right" indent="1"/>
    </xf>
    <xf numFmtId="186" fontId="118" fillId="0" borderId="4" xfId="68" applyNumberFormat="1" applyFont="1" applyFill="1" applyBorder="1" applyAlignment="1">
      <alignment horizontal="right" indent="1"/>
    </xf>
    <xf numFmtId="186" fontId="118" fillId="11" borderId="4" xfId="68" applyNumberFormat="1" applyFont="1" applyFill="1" applyBorder="1" applyAlignment="1">
      <alignment horizontal="right" indent="1"/>
    </xf>
    <xf numFmtId="186" fontId="39" fillId="11" borderId="0" xfId="68" applyNumberFormat="1" applyFont="1" applyFill="1" applyBorder="1" applyAlignment="1">
      <alignment horizontal="right" indent="1"/>
    </xf>
    <xf numFmtId="186" fontId="39" fillId="0" borderId="4" xfId="68" applyNumberFormat="1" applyFont="1" applyFill="1" applyBorder="1" applyAlignment="1">
      <alignment horizontal="right" indent="2"/>
    </xf>
    <xf numFmtId="186" fontId="39" fillId="0" borderId="0" xfId="68" applyNumberFormat="1" applyFont="1" applyFill="1" applyBorder="1" applyAlignment="1">
      <alignment horizontal="center"/>
    </xf>
    <xf numFmtId="186" fontId="40" fillId="0" borderId="4" xfId="68" applyNumberFormat="1" applyFont="1" applyFill="1" applyBorder="1" applyAlignment="1">
      <alignment horizontal="right" indent="1"/>
    </xf>
    <xf numFmtId="186" fontId="40" fillId="0" borderId="50" xfId="68" applyNumberFormat="1" applyFont="1" applyFill="1" applyBorder="1" applyAlignment="1">
      <alignment horizontal="right" indent="1"/>
    </xf>
    <xf numFmtId="186" fontId="40" fillId="11" borderId="50" xfId="68" applyNumberFormat="1" applyFont="1" applyFill="1" applyBorder="1" applyAlignment="1">
      <alignment horizontal="right" indent="1"/>
    </xf>
    <xf numFmtId="222" fontId="116" fillId="6" borderId="8" xfId="159" applyNumberFormat="1" applyFont="1" applyFill="1" applyBorder="1" applyAlignment="1">
      <alignment horizontal="right"/>
    </xf>
    <xf numFmtId="222" fontId="39" fillId="6" borderId="8" xfId="159" applyNumberFormat="1" applyFont="1" applyFill="1" applyBorder="1" applyAlignment="1">
      <alignment horizontal="right"/>
    </xf>
    <xf numFmtId="0" fontId="39" fillId="6" borderId="51" xfId="160" applyFont="1" applyFill="1" applyBorder="1" applyAlignment="1">
      <alignment horizontal="right"/>
    </xf>
    <xf numFmtId="0" fontId="39" fillId="6" borderId="8" xfId="160" applyFont="1" applyFill="1" applyBorder="1" applyAlignment="1">
      <alignment horizontal="right"/>
    </xf>
    <xf numFmtId="0" fontId="39" fillId="6" borderId="53" xfId="160" applyFont="1" applyFill="1" applyBorder="1" applyAlignment="1">
      <alignment horizontal="right"/>
    </xf>
    <xf numFmtId="199" fontId="73" fillId="0" borderId="0" xfId="160" applyNumberFormat="1" applyFont="1" applyAlignment="1">
      <alignment horizontal="right"/>
    </xf>
    <xf numFmtId="199" fontId="73" fillId="0" borderId="28" xfId="160" applyNumberFormat="1" applyFont="1" applyBorder="1" applyAlignment="1">
      <alignment horizontal="right"/>
    </xf>
    <xf numFmtId="199" fontId="119" fillId="0" borderId="0" xfId="160" applyNumberFormat="1" applyFont="1" applyAlignment="1">
      <alignment horizontal="right"/>
    </xf>
    <xf numFmtId="199" fontId="73" fillId="0" borderId="0" xfId="160" quotePrefix="1" applyNumberFormat="1" applyFont="1" applyAlignment="1">
      <alignment horizontal="right"/>
    </xf>
    <xf numFmtId="199" fontId="73" fillId="0" borderId="12" xfId="160" quotePrefix="1" applyNumberFormat="1" applyFont="1" applyBorder="1" applyAlignment="1">
      <alignment horizontal="right"/>
    </xf>
    <xf numFmtId="223" fontId="74" fillId="0" borderId="0" xfId="160" applyNumberFormat="1" applyFont="1" applyAlignment="1">
      <alignment horizontal="right"/>
    </xf>
    <xf numFmtId="223" fontId="74" fillId="0" borderId="12" xfId="160" applyNumberFormat="1" applyFont="1" applyBorder="1" applyAlignment="1">
      <alignment horizontal="right"/>
    </xf>
    <xf numFmtId="4" fontId="40" fillId="6" borderId="8" xfId="160" applyNumberFormat="1" applyFill="1" applyBorder="1" applyAlignment="1">
      <alignment horizontal="right"/>
    </xf>
    <xf numFmtId="4" fontId="40" fillId="6" borderId="53" xfId="160" applyNumberFormat="1" applyFill="1" applyBorder="1" applyAlignment="1">
      <alignment horizontal="right"/>
    </xf>
    <xf numFmtId="0" fontId="40" fillId="0" borderId="0" xfId="160" applyAlignment="1">
      <alignment horizontal="right"/>
    </xf>
    <xf numFmtId="0" fontId="40" fillId="0" borderId="12" xfId="160" applyBorder="1" applyAlignment="1">
      <alignment horizontal="right"/>
    </xf>
    <xf numFmtId="167" fontId="40" fillId="0" borderId="0" xfId="160" applyNumberFormat="1" applyAlignment="1">
      <alignment horizontal="right"/>
    </xf>
    <xf numFmtId="167" fontId="40" fillId="0" borderId="12" xfId="160" applyNumberFormat="1" applyBorder="1" applyAlignment="1">
      <alignment horizontal="right"/>
    </xf>
    <xf numFmtId="224" fontId="52" fillId="0" borderId="0" xfId="160" applyNumberFormat="1" applyFont="1" applyAlignment="1">
      <alignment horizontal="right"/>
    </xf>
    <xf numFmtId="224" fontId="52" fillId="0" borderId="12" xfId="160" applyNumberFormat="1" applyFont="1" applyBorder="1" applyAlignment="1">
      <alignment horizontal="right"/>
    </xf>
    <xf numFmtId="219" fontId="40" fillId="0" borderId="54" xfId="74" applyNumberFormat="1" applyFont="1" applyFill="1" applyBorder="1" applyAlignment="1">
      <alignment horizontal="right"/>
    </xf>
    <xf numFmtId="219" fontId="40" fillId="0" borderId="55" xfId="74" applyNumberFormat="1" applyFont="1" applyFill="1" applyBorder="1" applyAlignment="1">
      <alignment horizontal="right"/>
    </xf>
    <xf numFmtId="219" fontId="40" fillId="0" borderId="56" xfId="74" applyNumberFormat="1" applyFont="1" applyFill="1" applyBorder="1" applyAlignment="1">
      <alignment horizontal="right"/>
    </xf>
    <xf numFmtId="219" fontId="40" fillId="0" borderId="57" xfId="74" applyNumberFormat="1" applyFont="1" applyFill="1" applyBorder="1" applyAlignment="1">
      <alignment horizontal="right"/>
    </xf>
    <xf numFmtId="219" fontId="40" fillId="0" borderId="58" xfId="74" applyNumberFormat="1" applyFont="1" applyFill="1" applyBorder="1" applyAlignment="1">
      <alignment horizontal="right"/>
    </xf>
    <xf numFmtId="213" fontId="40" fillId="0" borderId="0" xfId="160" applyNumberFormat="1" applyAlignment="1">
      <alignment horizontal="right"/>
    </xf>
    <xf numFmtId="206" fontId="40" fillId="0" borderId="0" xfId="160" applyNumberFormat="1" applyAlignment="1">
      <alignment horizontal="right"/>
    </xf>
    <xf numFmtId="219" fontId="40" fillId="0" borderId="10" xfId="160" applyNumberFormat="1" applyBorder="1" applyAlignment="1">
      <alignment horizontal="right"/>
    </xf>
    <xf numFmtId="219" fontId="40" fillId="0" borderId="0" xfId="160" applyNumberFormat="1" applyAlignment="1">
      <alignment horizontal="right"/>
    </xf>
    <xf numFmtId="219" fontId="40" fillId="0" borderId="12" xfId="160" applyNumberFormat="1" applyBorder="1" applyAlignment="1">
      <alignment horizontal="right"/>
    </xf>
    <xf numFmtId="165" fontId="52" fillId="0" borderId="0" xfId="178" quotePrefix="1" applyNumberFormat="1" applyFont="1" applyFill="1" applyBorder="1" applyAlignment="1">
      <alignment horizontal="right"/>
    </xf>
    <xf numFmtId="165" fontId="52" fillId="0" borderId="10" xfId="178" quotePrefix="1" applyNumberFormat="1" applyFont="1" applyFill="1" applyBorder="1" applyAlignment="1">
      <alignment horizontal="right"/>
    </xf>
    <xf numFmtId="165" fontId="52" fillId="0" borderId="0" xfId="178" applyNumberFormat="1" applyFont="1" applyFill="1" applyBorder="1" applyAlignment="1">
      <alignment horizontal="right"/>
    </xf>
    <xf numFmtId="165" fontId="52" fillId="0" borderId="12" xfId="178" applyNumberFormat="1" applyFont="1" applyFill="1" applyBorder="1" applyAlignment="1">
      <alignment horizontal="right"/>
    </xf>
    <xf numFmtId="186" fontId="40" fillId="0" borderId="0" xfId="68" applyNumberFormat="1" applyFont="1" applyFill="1" applyBorder="1" applyAlignment="1">
      <alignment horizontal="right"/>
    </xf>
    <xf numFmtId="186" fontId="40" fillId="0" borderId="12" xfId="68" applyNumberFormat="1" applyFont="1" applyFill="1" applyBorder="1" applyAlignment="1">
      <alignment horizontal="right"/>
    </xf>
    <xf numFmtId="186" fontId="40" fillId="11" borderId="0" xfId="68" applyNumberFormat="1" applyFont="1" applyFill="1" applyBorder="1" applyAlignment="1">
      <alignment horizontal="right"/>
    </xf>
    <xf numFmtId="186" fontId="40" fillId="11" borderId="12" xfId="68" applyNumberFormat="1" applyFont="1" applyFill="1" applyBorder="1" applyAlignment="1">
      <alignment horizontal="right"/>
    </xf>
    <xf numFmtId="186" fontId="40" fillId="0" borderId="59" xfId="68" applyNumberFormat="1" applyFont="1" applyFill="1" applyBorder="1" applyAlignment="1">
      <alignment horizontal="right"/>
    </xf>
    <xf numFmtId="186" fontId="40" fillId="0" borderId="60" xfId="68" applyNumberFormat="1" applyFont="1" applyFill="1" applyBorder="1" applyAlignment="1">
      <alignment horizontal="right"/>
    </xf>
    <xf numFmtId="186" fontId="40" fillId="0" borderId="57" xfId="68" applyNumberFormat="1" applyFont="1" applyFill="1" applyBorder="1" applyAlignment="1">
      <alignment horizontal="right"/>
    </xf>
    <xf numFmtId="186" fontId="40" fillId="0" borderId="58" xfId="68" applyNumberFormat="1" applyFont="1" applyFill="1" applyBorder="1" applyAlignment="1">
      <alignment horizontal="right"/>
    </xf>
    <xf numFmtId="186" fontId="39" fillId="0" borderId="0" xfId="68" applyNumberFormat="1" applyFont="1" applyFill="1" applyBorder="1" applyAlignment="1">
      <alignment horizontal="right"/>
    </xf>
    <xf numFmtId="186" fontId="39" fillId="0" borderId="12" xfId="68" applyNumberFormat="1" applyFont="1" applyFill="1" applyBorder="1" applyAlignment="1">
      <alignment horizontal="right"/>
    </xf>
    <xf numFmtId="186" fontId="40" fillId="0" borderId="54" xfId="68" applyNumberFormat="1" applyFont="1" applyFill="1" applyBorder="1" applyAlignment="1">
      <alignment horizontal="right"/>
    </xf>
    <xf numFmtId="186" fontId="40" fillId="0" borderId="55" xfId="68" applyNumberFormat="1" applyFont="1" applyFill="1" applyBorder="1" applyAlignment="1">
      <alignment horizontal="right"/>
    </xf>
    <xf numFmtId="213" fontId="39" fillId="0" borderId="4" xfId="74" applyNumberFormat="1" applyFont="1" applyFill="1" applyBorder="1" applyAlignment="1">
      <alignment horizontal="right"/>
    </xf>
    <xf numFmtId="213" fontId="39" fillId="0" borderId="38" xfId="74" applyNumberFormat="1" applyFont="1" applyFill="1" applyBorder="1" applyAlignment="1">
      <alignment horizontal="right"/>
    </xf>
    <xf numFmtId="213" fontId="39" fillId="0" borderId="50" xfId="74" applyNumberFormat="1" applyFont="1" applyFill="1" applyBorder="1" applyAlignment="1">
      <alignment horizontal="right"/>
    </xf>
    <xf numFmtId="4" fontId="40" fillId="6" borderId="51" xfId="160" applyNumberFormat="1" applyFill="1" applyBorder="1" applyAlignment="1">
      <alignment horizontal="right"/>
    </xf>
    <xf numFmtId="0" fontId="40" fillId="0" borderId="10" xfId="160" applyBorder="1" applyAlignment="1">
      <alignment horizontal="right"/>
    </xf>
    <xf numFmtId="167" fontId="40" fillId="0" borderId="10" xfId="160" quotePrefix="1" applyNumberFormat="1" applyBorder="1" applyAlignment="1">
      <alignment horizontal="right"/>
    </xf>
    <xf numFmtId="167" fontId="40" fillId="0" borderId="0" xfId="160" quotePrefix="1" applyNumberFormat="1" applyAlignment="1">
      <alignment horizontal="right"/>
    </xf>
    <xf numFmtId="167" fontId="40" fillId="0" borderId="12" xfId="160" quotePrefix="1" applyNumberFormat="1" applyBorder="1" applyAlignment="1">
      <alignment horizontal="right"/>
    </xf>
    <xf numFmtId="167" fontId="40" fillId="0" borderId="10" xfId="160" applyNumberFormat="1" applyBorder="1" applyAlignment="1">
      <alignment horizontal="right"/>
    </xf>
    <xf numFmtId="166" fontId="40" fillId="0" borderId="0" xfId="160" applyNumberFormat="1" applyAlignment="1">
      <alignment horizontal="right"/>
    </xf>
    <xf numFmtId="186" fontId="39" fillId="0" borderId="10" xfId="68" applyNumberFormat="1" applyFont="1" applyFill="1" applyBorder="1" applyAlignment="1">
      <alignment horizontal="right"/>
    </xf>
    <xf numFmtId="186" fontId="40" fillId="0" borderId="10" xfId="68" applyNumberFormat="1" applyFont="1" applyFill="1" applyBorder="1" applyAlignment="1">
      <alignment horizontal="right"/>
    </xf>
    <xf numFmtId="199" fontId="116" fillId="0" borderId="27" xfId="160" quotePrefix="1" applyNumberFormat="1" applyFont="1" applyBorder="1" applyAlignment="1">
      <alignment horizontal="left"/>
    </xf>
    <xf numFmtId="0" fontId="118" fillId="0" borderId="0" xfId="160" applyFont="1" applyAlignment="1">
      <alignment horizontal="center"/>
    </xf>
    <xf numFmtId="190" fontId="112" fillId="0" borderId="0" xfId="68" applyNumberFormat="1" applyFont="1"/>
    <xf numFmtId="190" fontId="114" fillId="0" borderId="0" xfId="68" applyNumberFormat="1" applyFont="1"/>
    <xf numFmtId="0" fontId="40" fillId="11" borderId="0" xfId="1" quotePrefix="1" applyFont="1" applyFill="1" applyAlignment="1">
      <alignment wrapText="1"/>
    </xf>
    <xf numFmtId="0" fontId="40" fillId="11" borderId="0" xfId="1" applyFont="1" applyFill="1" applyAlignment="1">
      <alignment wrapText="1"/>
    </xf>
    <xf numFmtId="0" fontId="40" fillId="11" borderId="0" xfId="1" quotePrefix="1" applyFont="1" applyFill="1" applyAlignment="1">
      <alignment wrapText="1"/>
    </xf>
    <xf numFmtId="0" fontId="9" fillId="11" borderId="0" xfId="127" applyFill="1" applyAlignment="1" applyProtection="1">
      <alignment horizontal="center"/>
    </xf>
    <xf numFmtId="0" fontId="56" fillId="11" borderId="0" xfId="1" applyFont="1" applyFill="1" applyAlignment="1">
      <alignment wrapText="1"/>
    </xf>
  </cellXfs>
  <cellStyles count="235">
    <cellStyle name="_%(SignOnly)" xfId="3" xr:uid="{8CFCBB8E-895D-4519-A82B-A0B1783BA667}"/>
    <cellStyle name="_%(SignSpaceOnly)" xfId="4" xr:uid="{15D2BB46-ED70-49B3-8DBE-1877CF62237E}"/>
    <cellStyle name="_ARES IIIR IVR Omnicron Request v2 sent" xfId="5" xr:uid="{DD93C588-CC16-41BC-8C76-F04B9B15E2EC}"/>
    <cellStyle name="_ARES IIIR IVR Omnicron Request v2 sent_Alpha3.0 10_1_08_public_V2" xfId="6" xr:uid="{0A8A473C-090A-4864-8C40-9AF945BBC5B1}"/>
    <cellStyle name="_Ares IIIR-IVR portfolio_sent out" xfId="7" xr:uid="{6ECC260E-B8A5-49F6-B1D3-04A75B94312F}"/>
    <cellStyle name="_Comma" xfId="8" xr:uid="{2EFD404D-DF04-4D5C-9D67-4446FDE8A738}"/>
    <cellStyle name="_Comma_lbo_short_form" xfId="9" xr:uid="{C5A2FEDC-1270-4E01-8F3E-1CBB50B2DD7B}"/>
    <cellStyle name="_Currency" xfId="10" xr:uid="{29B3C003-6C55-4C68-9756-D6FE3A668DDC}"/>
    <cellStyle name="_Currency_lbo_short_form" xfId="11" xr:uid="{F6C575CE-C47F-4F26-9B36-3689F610D680}"/>
    <cellStyle name="_CurrencySpace" xfId="12" xr:uid="{8E75BED3-B709-45C2-99A8-F4CD249A52CC}"/>
    <cellStyle name="_Euro" xfId="13" xr:uid="{F74435A8-CBE1-469C-BCF7-BBBD6DF01AE7}"/>
    <cellStyle name="_Hapoalim_refresh_spreads" xfId="14" xr:uid="{D911D86E-044C-46B5-AA96-70C25BF40152}"/>
    <cellStyle name="_Heading" xfId="15" xr:uid="{1944A389-D4BB-4AAD-A123-7FF48EAF3863}"/>
    <cellStyle name="_Heading_KDG Model" xfId="16" xr:uid="{7BEC9808-F977-45CA-99B2-D867A1F9CAAA}"/>
    <cellStyle name="_Highlight" xfId="17" xr:uid="{F919AF8F-690A-43F7-9DC5-6E601590AE94}"/>
    <cellStyle name="_Holdings" xfId="18" xr:uid="{62244D5A-4B82-44D5-90E9-71448C407E40}"/>
    <cellStyle name="_ID RISK" xfId="19" xr:uid="{F7A353A4-2009-45F9-BF22-D7A2BA45DEC5}"/>
    <cellStyle name="_ID RISK_Alpha3.0 10_1_08_public_V2" xfId="20" xr:uid="{C9DF25FC-0043-4A98-A873-96E09116AFFD}"/>
    <cellStyle name="_Min 40" xfId="21" xr:uid="{872B30D9-9661-4CB8-9738-CA5A66F00030}"/>
    <cellStyle name="_Min 60" xfId="22" xr:uid="{9B9CA4F4-21A3-4426-A219-C784E852B326}"/>
    <cellStyle name="_Min 80" xfId="23" xr:uid="{36E6814F-208E-43C3-A8B2-3AE4E60F3CA3}"/>
    <cellStyle name="_Multiple" xfId="24" xr:uid="{73492E72-A7B2-4F59-846C-0314A12F812F}"/>
    <cellStyle name="_MultipleSpace" xfId="25" xr:uid="{B7DAA938-CD14-477A-AF51-8EC0F635111C}"/>
    <cellStyle name="_Optimized Portfolios" xfId="26" xr:uid="{0F726856-BA1B-44BF-9F3D-2341BB33DC82}"/>
    <cellStyle name="_Pricing Sheet" xfId="27" xr:uid="{D3F27B80-5F74-4A8A-851E-2EECB138A8F6}"/>
    <cellStyle name="_Pricing Sheet_Alpha3.0 10_1_08_public_V2" xfId="28" xr:uid="{F3055186-12B3-41E4-B2CF-A32C8654758C}"/>
    <cellStyle name="_Sheet1" xfId="29" xr:uid="{AB8347CD-2145-416E-A24E-C6083BE0B53B}"/>
    <cellStyle name="_Sheet9" xfId="30" xr:uid="{56B75404-4C55-4383-B17D-776332DC6FE5}"/>
    <cellStyle name="_SubHeading" xfId="31" xr:uid="{4443E159-32FB-49AC-83BD-72B10E4EB4DE}"/>
    <cellStyle name="_SubHeading_KDG Model" xfId="32" xr:uid="{42003A0C-F5D6-4691-A02D-36AD60626098}"/>
    <cellStyle name="_Table" xfId="33" xr:uid="{E7A2AE8D-754B-49C9-AA8A-943AE6219FEB}"/>
    <cellStyle name="_Table_KDG Model" xfId="34" xr:uid="{674C90AD-157C-4CAD-973E-55FA8235129E}"/>
    <cellStyle name="_TableHead" xfId="35" xr:uid="{81DC1AED-144C-4B3D-B2EA-18FABCA7C06C}"/>
    <cellStyle name="_TableHead_KDG Model" xfId="36" xr:uid="{2D368B9F-2E8D-41CE-8101-BAEA959D90CF}"/>
    <cellStyle name="_TableRowHead" xfId="37" xr:uid="{CE6F49F8-0869-48BD-B720-89A8DDB76AA1}"/>
    <cellStyle name="_TableRowHead_KDG Model" xfId="38" xr:uid="{43D603EA-194E-4390-AE6E-2556D5E47F9B}"/>
    <cellStyle name="_TableSuperHead" xfId="39" xr:uid="{9BFD4462-BEB2-4A2A-BBE0-0EE825D70E14}"/>
    <cellStyle name="_TableSuperHead_KDG Model" xfId="40" xr:uid="{490B3D84-779A-4B89-B9EE-4A663B967A74}"/>
    <cellStyle name="?Q\?1@" xfId="1" xr:uid="{248BC9EF-3ADD-4E7C-96FA-CA32DE9C8C11}"/>
    <cellStyle name="?Q\?1@ 2" xfId="2" xr:uid="{7483EC8E-FEFD-4941-A082-0F416D90671B}"/>
    <cellStyle name="•W€_NewOriginal100" xfId="42" xr:uid="{1023F0F8-AB2B-4DD7-85A4-59357B935A83}"/>
    <cellStyle name="=C:\WINNT35\SYSTEM32\COMMAND.COM" xfId="41" xr:uid="{D7004C65-A710-48AF-9E9B-331F45D7BE5F}"/>
    <cellStyle name="AFE" xfId="43" xr:uid="{FB659198-2245-4E84-903A-23218464A155}"/>
    <cellStyle name="black" xfId="44" xr:uid="{FDDE1378-3958-47B4-B9D9-0441AD67B99F}"/>
    <cellStyle name="BlankedZeros" xfId="45" xr:uid="{E4BB8687-32FB-4FA5-8DCE-15F776C447C3}"/>
    <cellStyle name="blu" xfId="46" xr:uid="{4FBA42FB-3D2F-4D1E-AAF4-6865390F4274}"/>
    <cellStyle name="blue" xfId="47" xr:uid="{F75B343C-4C83-47C5-9724-80A67BC7E411}"/>
    <cellStyle name="Border" xfId="48" xr:uid="{7AEAF5A2-90FA-4417-A51D-371532C72168}"/>
    <cellStyle name="bot" xfId="49" xr:uid="{A4DBF675-DC78-4142-9F16-9D3804BB0AEE}"/>
    <cellStyle name="Bullet" xfId="50" xr:uid="{3A5C4E9D-CE0A-4344-9581-150567AE297C}"/>
    <cellStyle name="c" xfId="51" xr:uid="{4C221796-19B0-4D7E-A66C-743BF6BC55AA}"/>
    <cellStyle name="c_HardInc " xfId="53" xr:uid="{A3EA1B30-CDB3-4D02-ABA1-6B48D3F6D57E}"/>
    <cellStyle name="c," xfId="52" xr:uid="{31BE64E1-D2E1-4024-A2E4-5968FACE8A00}"/>
    <cellStyle name="c1" xfId="54" xr:uid="{C98A9A7A-E546-48A5-A59B-FE98AFAAF22A}"/>
    <cellStyle name="c1," xfId="55" xr:uid="{CD3F25AF-697A-4505-93B6-06976BEB2784}"/>
    <cellStyle name="c2" xfId="56" xr:uid="{65FE072C-04F1-49B8-9FBF-ABA720E93EA6}"/>
    <cellStyle name="c2," xfId="57" xr:uid="{1F05DD9C-2C4E-417B-B9A4-4F418F01B5EE}"/>
    <cellStyle name="c3" xfId="58" xr:uid="{1E55D02E-CB27-4C96-8C75-61A222EE8D15}"/>
    <cellStyle name="Calc Currency (0)" xfId="59" xr:uid="{3018E275-5FBB-4992-B064-BA09423F29D9}"/>
    <cellStyle name="Calc Currency (2)" xfId="60" xr:uid="{04C13DC9-BB98-4108-8DA1-C6420025F46E}"/>
    <cellStyle name="Calc Percent (0)" xfId="61" xr:uid="{FFE2A0A3-0F81-4840-A401-02FE413909ED}"/>
    <cellStyle name="Calc Percent (1)" xfId="62" xr:uid="{93A30CA7-7D67-48D6-85BA-260215AD2CC5}"/>
    <cellStyle name="Calc Percent (2)" xfId="63" xr:uid="{5C39ADD0-CC37-41D8-BF8C-A76A2B7BD35A}"/>
    <cellStyle name="Calc Units (0)" xfId="64" xr:uid="{7FD37B03-DCBA-4758-A535-EBF79AD986BD}"/>
    <cellStyle name="Calc Units (1)" xfId="65" xr:uid="{7A18C47A-A609-4EBF-9492-49BD79DAA76A}"/>
    <cellStyle name="Calc Units (2)" xfId="66" xr:uid="{711ABCBF-61BB-4305-8D46-161ACB000993}"/>
    <cellStyle name="cas" xfId="67" xr:uid="{BDE74FF8-24A0-4BCF-8F2A-7F8F6532A0B9}"/>
    <cellStyle name="Comma" xfId="68" builtinId="3"/>
    <cellStyle name="Comma (0)" xfId="69" xr:uid="{90744C23-94B3-41D0-A8DE-216588E2E027}"/>
    <cellStyle name="Comma [00]" xfId="70" xr:uid="{4B2225C9-9E28-4986-8C54-56B2824C1CF9}"/>
    <cellStyle name="Comma [2]" xfId="71" xr:uid="{784D7BDB-6CC8-4565-AB85-B32EAB3E30DC}"/>
    <cellStyle name="Comma 0" xfId="72" xr:uid="{4082335B-2EFC-4245-B8A0-970A67946559}"/>
    <cellStyle name="Comma 2" xfId="73" xr:uid="{3047EFC4-52A8-402B-B3DB-3E7E676BA8BC}"/>
    <cellStyle name="Comma_IMAX" xfId="74" xr:uid="{9E3A86DC-5A30-4F7E-AE0E-AA0883BDC1BC}"/>
    <cellStyle name="Convergence" xfId="75" xr:uid="{A8703F69-8ECA-413D-819D-2D39B234666D}"/>
    <cellStyle name="Currency (3)" xfId="76" xr:uid="{CEA278D7-2DA3-440D-8D1B-99C9F3755A19}"/>
    <cellStyle name="Currency [£]" xfId="77" xr:uid="{CD876DEF-D973-4C57-B1AF-D096F8C13423}"/>
    <cellStyle name="Currency [00]" xfId="78" xr:uid="{90C8EACA-4E59-4EA1-805B-054014276011}"/>
    <cellStyle name="Currency 0" xfId="79" xr:uid="{7CBA5E72-0AF2-471B-9FCC-71D76301093A}"/>
    <cellStyle name="Currency 2" xfId="80" xr:uid="{888077F5-29BC-4616-978F-DF80A7751E65}"/>
    <cellStyle name="Currency2" xfId="81" xr:uid="{4BFF7488-1EF3-4AD7-B998-4882B50F9549}"/>
    <cellStyle name="d" xfId="82" xr:uid="{49AC45BA-9F44-4D4F-AB60-6B21AD3C4290}"/>
    <cellStyle name="d," xfId="83" xr:uid="{59A1858F-D877-4A46-90C5-1E14ABC5F5C2}"/>
    <cellStyle name="d1" xfId="84" xr:uid="{D98488A8-25A8-4D4B-9009-5AFC30978CA2}"/>
    <cellStyle name="d1," xfId="85" xr:uid="{A678328A-84B0-459E-A3D9-C9DD7D6E1DAB}"/>
    <cellStyle name="d2" xfId="86" xr:uid="{E4A25912-4FD1-4836-AB88-94B027672839}"/>
    <cellStyle name="d2," xfId="87" xr:uid="{C1707304-2BAC-43B4-B82E-5EE58CB1725E}"/>
    <cellStyle name="d3" xfId="88" xr:uid="{D9C1919C-785B-45BF-ACD5-6DA751BB1DE1}"/>
    <cellStyle name="Dash" xfId="89" xr:uid="{8E06701A-5F80-4373-B416-A8A1C350AA12}"/>
    <cellStyle name="Date" xfId="90" xr:uid="{86C41CDA-83B0-45EB-8D02-E76BC8814E80}"/>
    <cellStyle name="Date Aligned" xfId="91" xr:uid="{3EF48A8A-2CCC-4A1A-8BE3-C47E5FA5549B}"/>
    <cellStyle name="Date Short" xfId="92" xr:uid="{C98E4C11-AB5C-4E28-A924-F62AD6C7C003}"/>
    <cellStyle name="Date_081002 Debt Opportunities" xfId="93" xr:uid="{B2A06AED-81C4-4D38-88BD-3760547E9349}"/>
    <cellStyle name="DateFormat" xfId="94" xr:uid="{7C547FEB-394B-46D4-988C-D5C7E3E3F02B}"/>
    <cellStyle name="DELTA" xfId="95" xr:uid="{DFB43D28-7CF7-45A0-8183-5E420131707A}"/>
    <cellStyle name="Dezimal [0]_Country" xfId="96" xr:uid="{75B92489-23A5-4219-9798-9D909DCDEA15}"/>
    <cellStyle name="Dezimal_Country" xfId="97" xr:uid="{C658D756-C416-45DD-BAEC-0592FEB8FC7D}"/>
    <cellStyle name="dollar" xfId="98" xr:uid="{FDA3651F-644F-451D-931E-DAD5F8481161}"/>
    <cellStyle name="Dotted Line" xfId="99" xr:uid="{763D5DF5-ACE4-4C3A-BC2A-142D71A134E5}"/>
    <cellStyle name="e" xfId="100" xr:uid="{EAF5C334-745D-414C-B523-FA5C33E5DD23}"/>
    <cellStyle name="e1" xfId="101" xr:uid="{40D87426-1296-4265-98B4-F79049C8FD94}"/>
    <cellStyle name="e2" xfId="102" xr:uid="{7051EE2A-12C2-4428-8716-405D931A703D}"/>
    <cellStyle name="Enter Currency (0)" xfId="103" xr:uid="{158E1DA0-5AAD-401C-8923-8833A42ED6D1}"/>
    <cellStyle name="Enter Currency (2)" xfId="104" xr:uid="{EB277297-99B2-427A-97B0-7FB9170D3508}"/>
    <cellStyle name="Enter Units (0)" xfId="105" xr:uid="{6BBA594E-C316-4965-8BA8-43F8132CCB5F}"/>
    <cellStyle name="Enter Units (1)" xfId="106" xr:uid="{DCD420E1-1B55-49C4-85A8-106DE7CB1BD7}"/>
    <cellStyle name="Enter Units (2)" xfId="107" xr:uid="{A3FC2BB0-8247-4463-B05D-77B2C8C3E452}"/>
    <cellStyle name="Euro" xfId="108" xr:uid="{0A23650B-5853-4C66-9F86-7EBB826922A8}"/>
    <cellStyle name="Financials" xfId="109" xr:uid="{3FE7B880-673A-4E91-929B-7F29CADB7465}"/>
    <cellStyle name="FirstNumbers_Avg_BS " xfId="110" xr:uid="{48585C33-74A0-4E50-886E-96ED862E631B}"/>
    <cellStyle name="Footnote" xfId="111" xr:uid="{A99A0D6D-5EA4-4C1E-914D-406347E65F77}"/>
    <cellStyle name="g" xfId="112" xr:uid="{DB3A69B4-848A-4264-86C2-95D700032EA1}"/>
    <cellStyle name="general" xfId="113" xr:uid="{D25B3428-34D3-4FBE-8050-F5ABD8DF79A5}"/>
    <cellStyle name="Green" xfId="114" xr:uid="{3E5FE64D-ED40-4440-82E5-E3BE9F60A22C}"/>
    <cellStyle name="Grey" xfId="115" xr:uid="{E136CE90-9078-4F66-B523-4015BD72D372}"/>
    <cellStyle name="GreybarHeader" xfId="116" xr:uid="{D9C5B09C-07FD-43A5-8E49-65E011B66A63}"/>
    <cellStyle name="Hard Percent" xfId="117" xr:uid="{E50A8615-2993-4632-A099-4E3C054D79DF}"/>
    <cellStyle name="Header" xfId="118" xr:uid="{8CF25BE6-5048-4B75-9D31-D7530914943B}"/>
    <cellStyle name="Header1" xfId="119" xr:uid="{AB8C8FAF-344A-4AC7-81D8-AEC9BAF4AED5}"/>
    <cellStyle name="Header2" xfId="120" xr:uid="{EBE1A8C1-7BCC-4A7E-B1E1-4F8D3CD70CB9}"/>
    <cellStyle name="Heading" xfId="121" xr:uid="{BD30E790-D0FB-44FD-B0E7-41E0B902F474}"/>
    <cellStyle name="Heading 2" xfId="122" builtinId="17" customBuiltin="1"/>
    <cellStyle name="Heading 3" xfId="123" builtinId="18" customBuiltin="1"/>
    <cellStyle name="Headline" xfId="124" xr:uid="{04B1518A-2A39-4D8D-9AD7-97FD13A5EA26}"/>
    <cellStyle name="Highlight" xfId="125" xr:uid="{B68C2976-E918-46C7-AA69-8ABCE4DE52DE}"/>
    <cellStyle name="hotlinks" xfId="126" xr:uid="{C1F1680A-5725-4086-8EF2-539F6F9B076B}"/>
    <cellStyle name="Hyperlink" xfId="127" builtinId="8"/>
    <cellStyle name="in" xfId="128" xr:uid="{67A45A4D-315D-4D50-A6C2-A51C01EF6DA8}"/>
    <cellStyle name="Input" xfId="129" builtinId="20" customBuiltin="1"/>
    <cellStyle name="Input [yellow]" xfId="130" xr:uid="{A177F623-545B-46E8-9B99-008C694E5063}"/>
    <cellStyle name="InputCurrency" xfId="131" xr:uid="{FEAF0698-3EBA-4108-A7BF-9F173576C19F}"/>
    <cellStyle name="InputCurrency2" xfId="132" xr:uid="{5B25BC7D-7005-4F15-8093-CA2BE6502F4A}"/>
    <cellStyle name="InputMultiple1" xfId="133" xr:uid="{7E007077-EC48-4070-9C02-950CBA12C238}"/>
    <cellStyle name="InputPercent1" xfId="134" xr:uid="{CD27A6B6-4D74-4B4C-8AE6-97B8FAD1C6E9}"/>
    <cellStyle name="ItalicHeader" xfId="135" xr:uid="{643EAD2B-9CF7-40DB-BE5A-D275BDD68932}"/>
    <cellStyle name="Labels 8p Bold" xfId="136" xr:uid="{442C9ACA-39A9-42A0-81FC-3F0B71B5BEE4}"/>
    <cellStyle name="lborder" xfId="137" xr:uid="{554FBB30-E429-41D5-BD89-4E5498D062DB}"/>
    <cellStyle name="LineNumbers_Avg_BS " xfId="138" xr:uid="{BB65EC3F-E231-4567-B6F3-2025F66FE991}"/>
    <cellStyle name="Link Currency (0)" xfId="139" xr:uid="{01386070-83B3-44DC-8478-9601052C5E33}"/>
    <cellStyle name="Link Currency (2)" xfId="140" xr:uid="{3DB3AFA8-007B-4D67-A17C-BF84DEC1BC79}"/>
    <cellStyle name="Link Units (0)" xfId="141" xr:uid="{0118D3C2-F832-4A5F-A11B-C384FC227AB3}"/>
    <cellStyle name="Link Units (1)" xfId="142" xr:uid="{8B77B423-2B73-470F-96CD-7D687C06E82E}"/>
    <cellStyle name="Link Units (2)" xfId="143" xr:uid="{DC216BB0-9DBD-413C-9B6A-D4717179297D}"/>
    <cellStyle name="m" xfId="144" xr:uid="{132D588B-7319-4B99-B74D-411A574C1F05}"/>
    <cellStyle name="m1" xfId="145" xr:uid="{50BF873F-5484-4F61-AC10-172AC23E85FD}"/>
    <cellStyle name="m2" xfId="146" xr:uid="{3661B6A7-4F6F-4540-AEAF-B8FF2FFE65EC}"/>
    <cellStyle name="m2\" xfId="147" xr:uid="{16FE2AF6-A32F-4D9B-85AD-46B0357E4BE3}"/>
    <cellStyle name="m3" xfId="148" xr:uid="{C51CBD7C-2578-4C0B-B97A-32B51C9B0E8C}"/>
    <cellStyle name="Migliaia (0)_RiepilogoNQ" xfId="149" xr:uid="{68A2882F-40B6-4553-8C86-7ECCCF0DC778}"/>
    <cellStyle name="Milliers [0]_CAVOM1" xfId="150" xr:uid="{C8AA2DA6-F4D7-4EEC-B74E-4F6FD33F5FD9}"/>
    <cellStyle name="Milliers_CAPITALISATION" xfId="151" xr:uid="{C1F28B20-9024-41A7-962B-714C5EA223CA}"/>
    <cellStyle name="Monétaire [0]_CAPITALISATION" xfId="152" xr:uid="{157952F6-402C-4478-B973-58FDFB7FEC5F}"/>
    <cellStyle name="Monétaire_CAPITALISATION" xfId="153" xr:uid="{DDDD6011-2331-4DB1-A834-D7500A7D9480}"/>
    <cellStyle name="Multiple" xfId="154" xr:uid="{5D20565B-BAF1-48AC-9B0F-20B53DBAB8F5}"/>
    <cellStyle name="Multiple1" xfId="155" xr:uid="{4E09F33F-DD18-4C65-BF4C-757D908118E5}"/>
    <cellStyle name="Negative" xfId="156" xr:uid="{C0EB4D46-1C99-449F-93D6-732E024235B4}"/>
    <cellStyle name="no.dollar" xfId="157" xr:uid="{FFD500D7-EBAD-4ABA-9C9B-C5F40BA61A92}"/>
    <cellStyle name="Normal" xfId="0" builtinId="0"/>
    <cellStyle name="Normal - Style1" xfId="158" xr:uid="{53E44E97-9A59-42C3-A58C-8A4BCAB8AB69}"/>
    <cellStyle name="Normal_Chester Downs v2" xfId="159" xr:uid="{C2929FE1-1334-45B1-A875-0304608A1A0B}"/>
    <cellStyle name="Normal_IMAX" xfId="160" xr:uid="{E54E2172-731F-4A35-BC7D-AF027BC3B7C6}"/>
    <cellStyle name="Normal_INTERLAK.XLS" xfId="161" xr:uid="{A03DD6F6-2FA3-462E-9860-BC221CC32B84}"/>
    <cellStyle name="Normal_INTERLAK.XLS 2" xfId="162" xr:uid="{75B5AAA7-2407-4995-AA63-3D1104112674}"/>
    <cellStyle name="Normal2" xfId="163" xr:uid="{DE64F457-001D-4B20-8426-8E905B375C14}"/>
    <cellStyle name="Normale_Foglio2" xfId="164" xr:uid="{25D59010-8922-439C-8433-56BF41AAC484}"/>
    <cellStyle name="Notes" xfId="165" xr:uid="{7D018142-58A8-49CA-9396-DCF1FA152F5C}"/>
    <cellStyle name="NumberFormat" xfId="166" xr:uid="{9D17876E-D479-4990-8D1B-E1F0F3757C31}"/>
    <cellStyle name="p" xfId="167" xr:uid="{3D0253C2-F184-490A-AB55-C41544C5F350}"/>
    <cellStyle name="p1" xfId="168" xr:uid="{92E2082F-5A95-46FB-AA6F-0B9F629056DF}"/>
    <cellStyle name="p2" xfId="169" xr:uid="{4B9C77BA-1C3B-40AA-AD2B-4EFD40FFBB7A}"/>
    <cellStyle name="p3" xfId="170" xr:uid="{491204A5-976E-4A66-BBDF-A3101AA4C337}"/>
    <cellStyle name="Page Number" xfId="171" xr:uid="{EA6A4479-3744-432C-8E82-8D5150AB3AB3}"/>
    <cellStyle name="Parens (1)" xfId="172" xr:uid="{825F4D1A-7335-482F-943D-73FD950B126F}"/>
    <cellStyle name="Percent" xfId="173" builtinId="5"/>
    <cellStyle name="Percent (0.00)" xfId="174" xr:uid="{3D6FF31D-4A00-4B94-89AC-553469B30972}"/>
    <cellStyle name="Percent [0]" xfId="175" xr:uid="{8FCB1032-B036-41B8-BEB5-8F03D6FF7F9A}"/>
    <cellStyle name="Percent [00]" xfId="176" xr:uid="{4CACEE47-B460-42B1-BE56-88FCC380370B}"/>
    <cellStyle name="Percent [2]" xfId="177" xr:uid="{874F854B-6985-49C3-8247-ACB25DD22AF8}"/>
    <cellStyle name="Percent 2" xfId="178" xr:uid="{66111CCA-6E6C-4A10-AEE8-5C867DA26785}"/>
    <cellStyle name="Percent1" xfId="179" xr:uid="{8224D300-9502-4D38-8F08-DD902FD85183}"/>
    <cellStyle name="Percentage 2" xfId="180" xr:uid="{21664A11-79C6-4274-9756-AB74DB373653}"/>
    <cellStyle name="PrePop Currency (0)" xfId="181" xr:uid="{017EBE8B-E137-4088-9893-CAFF59072033}"/>
    <cellStyle name="PrePop Currency (2)" xfId="182" xr:uid="{C8FD9943-A8BC-4DF5-9979-6954B20CC0FE}"/>
    <cellStyle name="PrePop Units (0)" xfId="183" xr:uid="{84E7C6C0-5CB3-474D-9BBA-A34CED3F4D71}"/>
    <cellStyle name="PrePop Units (1)" xfId="184" xr:uid="{30E3FF45-204D-48EE-ADC7-47D1293B603B}"/>
    <cellStyle name="PrePop Units (2)" xfId="185" xr:uid="{1A28F72F-FA4A-4389-8D3F-B6A2240C9B2C}"/>
    <cellStyle name="Product Header" xfId="186" xr:uid="{1ACEAD81-C709-45B4-AF7E-EE2C1DC5826B}"/>
    <cellStyle name="pw" xfId="187" xr:uid="{E167C02E-9593-488F-B07D-13E5610ED7F7}"/>
    <cellStyle name="rborder" xfId="188" xr:uid="{EF663B8B-5A1D-4457-8D97-9DFAACE0D4FB}"/>
    <cellStyle name="red" xfId="189" xr:uid="{8FA0994D-6013-471A-8498-CAF133E3AB10}"/>
    <cellStyle name="RoundingPrecision_Avg_BS " xfId="190" xr:uid="{5F664414-DAD5-475F-8268-F36A08717CEA}"/>
    <cellStyle name="s_HardInc " xfId="191" xr:uid="{2959A16B-8B30-4B86-9D90-9061AD2F6EC0}"/>
    <cellStyle name="ScotchRule" xfId="192" xr:uid="{A3076D56-31E3-42AB-97AE-0F175A9DCB28}"/>
    <cellStyle name="Short $" xfId="193" xr:uid="{17B6D100-8930-497A-AEE1-109CEAC3641E}"/>
    <cellStyle name="Standard_Country" xfId="194" xr:uid="{E3E6DB02-A9B9-40B9-838D-8B607D5A3A6A}"/>
    <cellStyle name="Sterling [0]" xfId="195" xr:uid="{52C6D66D-2C28-44B8-9C8E-F90583DA0CF4}"/>
    <cellStyle name="Style 1" xfId="196" xr:uid="{A623B53A-A37A-4D38-A503-3B43903657BA}"/>
    <cellStyle name="Style 2" xfId="197" xr:uid="{3FAFF14B-D14D-481B-8168-66F385680308}"/>
    <cellStyle name="Style 3" xfId="198" xr:uid="{282D6253-7B93-49C2-9D83-803EAFDB4264}"/>
    <cellStyle name="STYLE1" xfId="199" xr:uid="{A4BF650C-1C6D-4045-BA63-D819DFA1327C}"/>
    <cellStyle name="STYLE2" xfId="200" xr:uid="{7F853CA7-1BF8-4EA1-B2BD-2A178AB96ACC}"/>
    <cellStyle name="STYLE3" xfId="201" xr:uid="{F36729F5-DA46-4B44-A37F-13BCEA52BDDA}"/>
    <cellStyle name="STYLE4" xfId="202" xr:uid="{BBC8598F-6727-4A77-9C93-E3AD1351AB3C}"/>
    <cellStyle name="Subtitle" xfId="203" xr:uid="{274B2A73-9063-4001-9F30-F2BC677A6489}"/>
    <cellStyle name="Table Head" xfId="204" xr:uid="{6B268EF2-F84E-44D3-BD01-42D7373A435E}"/>
    <cellStyle name="Table Head Aligned" xfId="205" xr:uid="{1B435F40-BF49-46E8-A45B-F48683A06600}"/>
    <cellStyle name="Table Head Blue" xfId="206" xr:uid="{AF8438E1-8EFE-48A4-9175-85F0D2186456}"/>
    <cellStyle name="Table Head Green" xfId="207" xr:uid="{41A8E58B-8D8E-4054-AD4D-90461C5C7762}"/>
    <cellStyle name="Table Head_Debt Investment Opportunity - Wind_v2" xfId="208" xr:uid="{538A41C8-5BFB-45E5-9305-5FBCEEE3565B}"/>
    <cellStyle name="Table Text" xfId="209" xr:uid="{1EE99B1F-4829-4F32-9A0C-04E2D1D42A76}"/>
    <cellStyle name="Table Title" xfId="210" xr:uid="{0FE63957-EA45-4680-8CB3-65390A59C191}"/>
    <cellStyle name="Table Units" xfId="211" xr:uid="{50C9114D-AD6D-4DE7-AD35-89BECB1E6528}"/>
    <cellStyle name="TableHeading" xfId="212" xr:uid="{AF4CE775-6F76-4099-B24D-C6DC002DC624}"/>
    <cellStyle name="tb" xfId="213" xr:uid="{1A20A4D9-74A8-4C7E-A0F5-1DFF21B14369}"/>
    <cellStyle name="Text" xfId="214" xr:uid="{ED5F2653-620D-4FB0-890E-23EDA028AF7A}"/>
    <cellStyle name="Text Head" xfId="215" xr:uid="{3D7C5334-2512-457A-B4F7-23121A7BEBFA}"/>
    <cellStyle name="Text Indent A" xfId="216" xr:uid="{30B8543C-94EC-4C44-B555-6ADC23A8D13B}"/>
    <cellStyle name="Text Indent B" xfId="217" xr:uid="{88B61F0E-D108-471E-8190-B420CE046539}"/>
    <cellStyle name="Text Indent C" xfId="218" xr:uid="{836AF6BD-1D11-4467-93E3-8D400068A499}"/>
    <cellStyle name="Times New Roman" xfId="219" xr:uid="{BE224ADD-5406-434D-A86B-081104A10B4F}"/>
    <cellStyle name="Titles_Avg_BS " xfId="220" xr:uid="{058C0856-ED1B-4893-BCB7-EB4FD763C45D}"/>
    <cellStyle name="top" xfId="221" xr:uid="{30A29576-25A2-4498-BD97-533911098237}"/>
    <cellStyle name="Total" xfId="222" builtinId="25" customBuiltin="1"/>
    <cellStyle name="TotalCurrency" xfId="223" xr:uid="{A3A40B51-DE62-4616-BE89-35B71F6E4E97}"/>
    <cellStyle name="TotalNumbers_Avg_BS " xfId="224" xr:uid="{92651263-8B34-49E5-80D7-7C7D26A30A22}"/>
    <cellStyle name="underlineHeading_Avg_BS " xfId="225" xr:uid="{CC3B0C56-258F-4564-89D3-77F5D17AC001}"/>
    <cellStyle name="v" xfId="226" xr:uid="{ED38B129-4DF6-479E-AC75-BAD477450CF6}"/>
    <cellStyle name="w" xfId="227" xr:uid="{22E84349-97BB-46B6-9163-6D4C4407E727}"/>
    <cellStyle name="Währung [0]_Country" xfId="228" xr:uid="{1D9EA729-6491-4DDC-88C9-1E66ABC47D86}"/>
    <cellStyle name="Währung_Country" xfId="229" xr:uid="{93E90864-B19C-408F-9F9E-3F703A835736}"/>
    <cellStyle name="Y2K Compliant Date Fmt" xfId="230" xr:uid="{59CBC0AB-72F1-4627-AC1B-ED9E1718D506}"/>
    <cellStyle name="yra" xfId="231" xr:uid="{72668CFC-EFD1-49FD-9199-FFEC014D5E76}"/>
    <cellStyle name="yrActual" xfId="232" xr:uid="{2A4B6600-951C-450F-A451-C76445A1A495}"/>
    <cellStyle name="yre" xfId="233" xr:uid="{B6C31049-E158-472B-AFF8-44FCC6CA6D22}"/>
    <cellStyle name="yrExpect" xfId="234" xr:uid="{0D33CE96-AC93-436A-B72C-BABF19B70B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Vendor Finance</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0</c:v>
              </c:pt>
              <c:pt idx="1">
                <c:v>0</c:v>
              </c:pt>
              <c:pt idx="2">
                <c:v>0</c:v>
              </c:pt>
              <c:pt idx="3">
                <c:v>0</c:v>
              </c:pt>
              <c:pt idx="4">
                <c:v>0</c:v>
              </c:pt>
              <c:pt idx="5">
                <c:v>0</c:v>
              </c:pt>
              <c:pt idx="6">
                <c:v>0</c:v>
              </c:pt>
              <c:pt idx="7">
                <c:v>0</c:v>
              </c:pt>
              <c:pt idx="8">
                <c:v>0</c:v>
              </c:pt>
              <c:pt idx="9">
                <c:v>0</c:v>
              </c:pt>
              <c:pt idx="10">
                <c:v>0</c:v>
              </c:pt>
            </c:numLit>
          </c:val>
          <c:smooth val="0"/>
          <c:extLst>
            <c:ext xmlns:c16="http://schemas.microsoft.com/office/drawing/2014/chart" uri="{C3380CC4-5D6E-409C-BE32-E72D297353CC}">
              <c16:uniqueId val="{00000000-4C5F-4DCD-9920-EB257F614DEB}"/>
            </c:ext>
          </c:extLst>
        </c:ser>
        <c:ser>
          <c:idx val="1"/>
          <c:order val="1"/>
          <c:tx>
            <c:v>High Yield Note</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3800</c:v>
              </c:pt>
              <c:pt idx="1">
                <c:v>3800</c:v>
              </c:pt>
              <c:pt idx="2">
                <c:v>3800</c:v>
              </c:pt>
              <c:pt idx="3">
                <c:v>3800</c:v>
              </c:pt>
              <c:pt idx="4">
                <c:v>3800</c:v>
              </c:pt>
              <c:pt idx="5">
                <c:v>3800</c:v>
              </c:pt>
              <c:pt idx="6">
                <c:v>3800</c:v>
              </c:pt>
              <c:pt idx="7">
                <c:v>3800</c:v>
              </c:pt>
              <c:pt idx="8">
                <c:v>3800</c:v>
              </c:pt>
              <c:pt idx="9">
                <c:v>3800</c:v>
              </c:pt>
              <c:pt idx="10">
                <c:v>3800</c:v>
              </c:pt>
            </c:numLit>
          </c:val>
          <c:smooth val="0"/>
          <c:extLst>
            <c:ext xmlns:c16="http://schemas.microsoft.com/office/drawing/2014/chart" uri="{C3380CC4-5D6E-409C-BE32-E72D297353CC}">
              <c16:uniqueId val="{00000001-4C5F-4DCD-9920-EB257F614DEB}"/>
            </c:ext>
          </c:extLst>
        </c:ser>
        <c:ser>
          <c:idx val="2"/>
          <c:order val="2"/>
          <c:tx>
            <c:v>Bank Loan</c:v>
          </c:tx>
          <c:spPr>
            <a:ln w="12700">
              <a:solidFill>
                <a:srgbClr val="FFFF00"/>
              </a:solidFill>
              <a:prstDash val="solid"/>
            </a:ln>
          </c:spPr>
          <c:marker>
            <c:symbol val="triangle"/>
            <c:size val="5"/>
            <c:spPr>
              <a:solidFill>
                <a:srgbClr val="FFFF00"/>
              </a:solidFill>
              <a:ln>
                <a:solidFill>
                  <a:srgbClr val="FFFF00"/>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2750</c:v>
              </c:pt>
              <c:pt idx="1">
                <c:v>2750</c:v>
              </c:pt>
              <c:pt idx="2">
                <c:v>2750</c:v>
              </c:pt>
              <c:pt idx="3">
                <c:v>2750</c:v>
              </c:pt>
              <c:pt idx="4">
                <c:v>2750</c:v>
              </c:pt>
              <c:pt idx="5">
                <c:v>2750</c:v>
              </c:pt>
              <c:pt idx="6">
                <c:v>2750</c:v>
              </c:pt>
              <c:pt idx="7">
                <c:v>2750</c:v>
              </c:pt>
              <c:pt idx="8">
                <c:v>2750</c:v>
              </c:pt>
              <c:pt idx="9">
                <c:v>2750</c:v>
              </c:pt>
              <c:pt idx="10">
                <c:v>2750</c:v>
              </c:pt>
            </c:numLit>
          </c:val>
          <c:smooth val="0"/>
          <c:extLst>
            <c:ext xmlns:c16="http://schemas.microsoft.com/office/drawing/2014/chart" uri="{C3380CC4-5D6E-409C-BE32-E72D297353CC}">
              <c16:uniqueId val="{00000002-4C5F-4DCD-9920-EB257F614DEB}"/>
            </c:ext>
          </c:extLst>
        </c:ser>
        <c:ser>
          <c:idx val="3"/>
          <c:order val="3"/>
          <c:tx>
            <c:v>#REF!</c:v>
          </c:tx>
          <c:spPr>
            <a:ln w="12700">
              <a:solidFill>
                <a:srgbClr val="00FFFF"/>
              </a:solidFill>
              <a:prstDash val="solid"/>
            </a:ln>
          </c:spPr>
          <c:marker>
            <c:symbol val="x"/>
            <c:size val="5"/>
            <c:spPr>
              <a:noFill/>
              <a:ln>
                <a:solidFill>
                  <a:srgbClr val="00FFFF"/>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
              <c:pt idx="0">
                <c:v>0</c:v>
              </c:pt>
            </c:numLit>
          </c:val>
          <c:smooth val="0"/>
          <c:extLst>
            <c:ext xmlns:c16="http://schemas.microsoft.com/office/drawing/2014/chart" uri="{C3380CC4-5D6E-409C-BE32-E72D297353CC}">
              <c16:uniqueId val="{00000003-4C5F-4DCD-9920-EB257F614DEB}"/>
            </c:ext>
          </c:extLst>
        </c:ser>
        <c:ser>
          <c:idx val="4"/>
          <c:order val="4"/>
          <c:tx>
            <c:v>#REF!</c:v>
          </c:tx>
          <c:spPr>
            <a:ln w="12700">
              <a:solidFill>
                <a:srgbClr val="800080"/>
              </a:solidFill>
              <a:prstDash val="solid"/>
            </a:ln>
          </c:spPr>
          <c:marker>
            <c:symbol val="star"/>
            <c:size val="5"/>
            <c:spPr>
              <a:noFill/>
              <a:ln>
                <a:solidFill>
                  <a:srgbClr val="800080"/>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
              <c:pt idx="0">
                <c:v>0</c:v>
              </c:pt>
            </c:numLit>
          </c:val>
          <c:smooth val="0"/>
          <c:extLst>
            <c:ext xmlns:c16="http://schemas.microsoft.com/office/drawing/2014/chart" uri="{C3380CC4-5D6E-409C-BE32-E72D297353CC}">
              <c16:uniqueId val="{00000004-4C5F-4DCD-9920-EB257F614DEB}"/>
            </c:ext>
          </c:extLst>
        </c:ser>
        <c:ser>
          <c:idx val="5"/>
          <c:order val="5"/>
          <c:tx>
            <c:v>EBITDA</c:v>
          </c:tx>
          <c:spPr>
            <a:ln w="12700">
              <a:solidFill>
                <a:srgbClr val="800000"/>
              </a:solidFill>
              <a:prstDash val="solid"/>
            </a:ln>
          </c:spPr>
          <c:marker>
            <c:symbol val="circle"/>
            <c:size val="5"/>
            <c:spPr>
              <a:solidFill>
                <a:srgbClr val="800000"/>
              </a:solidFill>
              <a:ln>
                <a:solidFill>
                  <a:srgbClr val="800000"/>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1449.662433807217</c:v>
              </c:pt>
              <c:pt idx="1">
                <c:v>2453.4943581365906</c:v>
              </c:pt>
              <c:pt idx="2">
                <c:v>3613.5912868573014</c:v>
              </c:pt>
              <c:pt idx="3">
                <c:v>4509.4016708325871</c:v>
              </c:pt>
              <c:pt idx="4">
                <c:v>5567.6198629582505</c:v>
              </c:pt>
              <c:pt idx="5">
                <c:v>7372.1689489766723</c:v>
              </c:pt>
              <c:pt idx="6">
                <c:v>9291.6917925896669</c:v>
              </c:pt>
              <c:pt idx="7">
                <c:v>11258.763158064932</c:v>
              </c:pt>
              <c:pt idx="8">
                <c:v>11804.773465622144</c:v>
              </c:pt>
              <c:pt idx="9">
                <c:v>12315.110870945909</c:v>
              </c:pt>
              <c:pt idx="10">
                <c:v>14200.660516082567</c:v>
              </c:pt>
            </c:numLit>
          </c:val>
          <c:smooth val="0"/>
          <c:extLst>
            <c:ext xmlns:c16="http://schemas.microsoft.com/office/drawing/2014/chart" uri="{C3380CC4-5D6E-409C-BE32-E72D297353CC}">
              <c16:uniqueId val="{00000005-4C5F-4DCD-9920-EB257F614DEB}"/>
            </c:ext>
          </c:extLst>
        </c:ser>
        <c:ser>
          <c:idx val="6"/>
          <c:order val="6"/>
          <c:tx>
            <c:v>Free Cash Flow</c:v>
          </c:tx>
          <c:spPr>
            <a:ln w="12700">
              <a:solidFill>
                <a:srgbClr val="008080"/>
              </a:solidFill>
              <a:prstDash val="solid"/>
            </a:ln>
          </c:spPr>
          <c:marker>
            <c:symbol val="plus"/>
            <c:size val="5"/>
            <c:spPr>
              <a:noFill/>
              <a:ln>
                <a:solidFill>
                  <a:srgbClr val="008080"/>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-1880.792408838116</c:v>
              </c:pt>
              <c:pt idx="1">
                <c:v>-1120.4565445385201</c:v>
              </c:pt>
              <c:pt idx="2">
                <c:v>-207.12906807069885</c:v>
              </c:pt>
              <c:pt idx="3">
                <c:v>438.63847142858822</c:v>
              </c:pt>
              <c:pt idx="4">
                <c:v>1243.5404268551406</c:v>
              </c:pt>
              <c:pt idx="5">
                <c:v>3276.7024039033395</c:v>
              </c:pt>
              <c:pt idx="6">
                <c:v>5863.1596700163336</c:v>
              </c:pt>
              <c:pt idx="7">
                <c:v>8055.5607954915959</c:v>
              </c:pt>
              <c:pt idx="8">
                <c:v>8885.5506230488136</c:v>
              </c:pt>
              <c:pt idx="9">
                <c:v>10037.091778905909</c:v>
              </c:pt>
              <c:pt idx="10">
                <c:v>12878.455857749233</c:v>
              </c:pt>
            </c:numLit>
          </c:val>
          <c:smooth val="0"/>
          <c:extLst>
            <c:ext xmlns:c16="http://schemas.microsoft.com/office/drawing/2014/chart" uri="{C3380CC4-5D6E-409C-BE32-E72D297353CC}">
              <c16:uniqueId val="{00000006-4C5F-4DCD-9920-EB257F614DEB}"/>
            </c:ext>
          </c:extLst>
        </c:ser>
        <c:ser>
          <c:idx val="7"/>
          <c:order val="7"/>
          <c:tx>
            <c:v>#REF!</c:v>
          </c:tx>
          <c:spPr>
            <a:ln w="12700">
              <a:solidFill>
                <a:srgbClr val="0000FF"/>
              </a:solidFill>
              <a:prstDash val="solid"/>
            </a:ln>
          </c:spPr>
          <c:marker>
            <c:symbol val="dot"/>
            <c:size val="5"/>
            <c:spPr>
              <a:noFill/>
              <a:ln>
                <a:solidFill>
                  <a:srgbClr val="0000FF"/>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
              <c:pt idx="0">
                <c:v>0</c:v>
              </c:pt>
            </c:numLit>
          </c:val>
          <c:smooth val="0"/>
          <c:extLst>
            <c:ext xmlns:c16="http://schemas.microsoft.com/office/drawing/2014/chart" uri="{C3380CC4-5D6E-409C-BE32-E72D297353CC}">
              <c16:uniqueId val="{00000007-4C5F-4DCD-9920-EB257F614DEB}"/>
            </c:ext>
          </c:extLst>
        </c:ser>
        <c:ser>
          <c:idx val="8"/>
          <c:order val="8"/>
          <c:tx>
            <c:v>Capex</c:v>
          </c:tx>
          <c:spPr>
            <a:ln w="12700">
              <a:solidFill>
                <a:srgbClr val="00CCFF"/>
              </a:solidFill>
              <a:prstDash val="solid"/>
            </a:ln>
          </c:spPr>
          <c:marker>
            <c:symbol val="dash"/>
            <c:size val="5"/>
            <c:spPr>
              <a:noFill/>
              <a:ln>
                <a:solidFill>
                  <a:srgbClr val="00CCFF"/>
                </a:solidFill>
                <a:prstDash val="solid"/>
              </a:ln>
            </c:spPr>
          </c:marker>
          <c:cat>
            <c:numLit>
              <c:formatCode>General</c:formatCode>
              <c:ptCount val="11"/>
              <c:pt idx="0">
                <c:v>2001</c:v>
              </c:pt>
              <c:pt idx="1">
                <c:v>2002</c:v>
              </c:pt>
              <c:pt idx="2">
                <c:v>2003</c:v>
              </c:pt>
              <c:pt idx="3">
                <c:v>2004</c:v>
              </c:pt>
              <c:pt idx="4">
                <c:v>2005</c:v>
              </c:pt>
              <c:pt idx="5">
                <c:v>2006</c:v>
              </c:pt>
              <c:pt idx="6">
                <c:v>2007</c:v>
              </c:pt>
              <c:pt idx="7">
                <c:v>2008</c:v>
              </c:pt>
              <c:pt idx="8">
                <c:v>2009</c:v>
              </c:pt>
              <c:pt idx="9">
                <c:v>2010</c:v>
              </c:pt>
              <c:pt idx="10">
                <c:v>2011</c:v>
              </c:pt>
            </c:numLit>
          </c:cat>
          <c:val>
            <c:numLit>
              <c:formatCode>General</c:formatCode>
              <c:ptCount val="11"/>
              <c:pt idx="0">
                <c:v>2626.954842645333</c:v>
              </c:pt>
              <c:pt idx="1">
                <c:v>2870.4509026751107</c:v>
              </c:pt>
              <c:pt idx="2">
                <c:v>3117.2203549280002</c:v>
              </c:pt>
              <c:pt idx="3">
                <c:v>3367.2631994039989</c:v>
              </c:pt>
              <c:pt idx="4">
                <c:v>3620.5794361031099</c:v>
              </c:pt>
              <c:pt idx="5">
                <c:v>3391.9665450733328</c:v>
              </c:pt>
              <c:pt idx="6">
                <c:v>2725.0321225733328</c:v>
              </c:pt>
              <c:pt idx="7">
                <c:v>2499.7023625733359</c:v>
              </c:pt>
              <c:pt idx="8">
                <c:v>2215.7228425733301</c:v>
              </c:pt>
              <c:pt idx="9">
                <c:v>1574.51909204</c:v>
              </c:pt>
              <c:pt idx="10">
                <c:v>618.70465833333333</c:v>
              </c:pt>
            </c:numLit>
          </c:val>
          <c:smooth val="0"/>
          <c:extLst>
            <c:ext xmlns:c16="http://schemas.microsoft.com/office/drawing/2014/chart" uri="{C3380CC4-5D6E-409C-BE32-E72D297353CC}">
              <c16:uniqueId val="{00000008-4C5F-4DCD-9920-EB257F614DEB}"/>
            </c:ext>
          </c:extLst>
        </c:ser>
        <c:dLbls>
          <c:showLegendKey val="0"/>
          <c:showVal val="0"/>
          <c:showCatName val="0"/>
          <c:showSerName val="0"/>
          <c:showPercent val="0"/>
          <c:showBubbleSize val="0"/>
        </c:dLbls>
        <c:marker val="1"/>
        <c:smooth val="0"/>
        <c:axId val="651174351"/>
        <c:axId val="1"/>
      </c:lineChart>
      <c:catAx>
        <c:axId val="65117435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651174351"/>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32</xdr:row>
      <xdr:rowOff>0</xdr:rowOff>
    </xdr:from>
    <xdr:to>
      <xdr:col>4</xdr:col>
      <xdr:colOff>0</xdr:colOff>
      <xdr:row>32</xdr:row>
      <xdr:rowOff>0</xdr:rowOff>
    </xdr:to>
    <xdr:sp macro="" textlink="">
      <xdr:nvSpPr>
        <xdr:cNvPr id="229536" name="Rectangle 1">
          <a:extLst>
            <a:ext uri="{FF2B5EF4-FFF2-40B4-BE49-F238E27FC236}">
              <a16:creationId xmlns:a16="http://schemas.microsoft.com/office/drawing/2014/main" id="{44EB6079-E16F-60C4-57CE-8AFBC64FE9D3}"/>
            </a:ext>
          </a:extLst>
        </xdr:cNvPr>
        <xdr:cNvSpPr>
          <a:spLocks noChangeArrowheads="1"/>
        </xdr:cNvSpPr>
      </xdr:nvSpPr>
      <xdr:spPr bwMode="auto">
        <a:xfrm>
          <a:off x="2714625" y="5524500"/>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32</xdr:row>
      <xdr:rowOff>0</xdr:rowOff>
    </xdr:from>
    <xdr:to>
      <xdr:col>4</xdr:col>
      <xdr:colOff>0</xdr:colOff>
      <xdr:row>32</xdr:row>
      <xdr:rowOff>0</xdr:rowOff>
    </xdr:to>
    <xdr:sp macro="" textlink="">
      <xdr:nvSpPr>
        <xdr:cNvPr id="229537" name="Line 2">
          <a:extLst>
            <a:ext uri="{FF2B5EF4-FFF2-40B4-BE49-F238E27FC236}">
              <a16:creationId xmlns:a16="http://schemas.microsoft.com/office/drawing/2014/main" id="{A9F92F4A-DB81-74BF-86BE-00F209FF530C}"/>
            </a:ext>
          </a:extLst>
        </xdr:cNvPr>
        <xdr:cNvSpPr>
          <a:spLocks noChangeShapeType="1"/>
        </xdr:cNvSpPr>
      </xdr:nvSpPr>
      <xdr:spPr bwMode="auto">
        <a:xfrm>
          <a:off x="2714625" y="552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32</xdr:row>
      <xdr:rowOff>0</xdr:rowOff>
    </xdr:from>
    <xdr:to>
      <xdr:col>4</xdr:col>
      <xdr:colOff>0</xdr:colOff>
      <xdr:row>32</xdr:row>
      <xdr:rowOff>0</xdr:rowOff>
    </xdr:to>
    <xdr:sp macro="" textlink="">
      <xdr:nvSpPr>
        <xdr:cNvPr id="229538" name="Line 3">
          <a:extLst>
            <a:ext uri="{FF2B5EF4-FFF2-40B4-BE49-F238E27FC236}">
              <a16:creationId xmlns:a16="http://schemas.microsoft.com/office/drawing/2014/main" id="{ACB76FC6-408B-2E80-A23A-2495F58190CC}"/>
            </a:ext>
          </a:extLst>
        </xdr:cNvPr>
        <xdr:cNvSpPr>
          <a:spLocks noChangeShapeType="1"/>
        </xdr:cNvSpPr>
      </xdr:nvSpPr>
      <xdr:spPr bwMode="auto">
        <a:xfrm>
          <a:off x="2714625" y="552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xdr:row>
      <xdr:rowOff>0</xdr:rowOff>
    </xdr:from>
    <xdr:to>
      <xdr:col>4</xdr:col>
      <xdr:colOff>0</xdr:colOff>
      <xdr:row>4</xdr:row>
      <xdr:rowOff>0</xdr:rowOff>
    </xdr:to>
    <xdr:grpSp>
      <xdr:nvGrpSpPr>
        <xdr:cNvPr id="229539" name="Group 4">
          <a:extLst>
            <a:ext uri="{FF2B5EF4-FFF2-40B4-BE49-F238E27FC236}">
              <a16:creationId xmlns:a16="http://schemas.microsoft.com/office/drawing/2014/main" id="{15832D93-2443-E8E8-52AA-A42ED1707BCC}"/>
            </a:ext>
          </a:extLst>
        </xdr:cNvPr>
        <xdr:cNvGrpSpPr>
          <a:grpSpLocks/>
        </xdr:cNvGrpSpPr>
      </xdr:nvGrpSpPr>
      <xdr:grpSpPr bwMode="auto">
        <a:xfrm>
          <a:off x="3005667" y="987778"/>
          <a:ext cx="0" cy="0"/>
          <a:chOff x="3005667" y="987778"/>
          <a:chExt cx="0" cy="0"/>
        </a:xfrm>
      </xdr:grpSpPr>
      <xdr:sp macro="" textlink="">
        <xdr:nvSpPr>
          <xdr:cNvPr id="229602" name="Line 5">
            <a:extLst>
              <a:ext uri="{FF2B5EF4-FFF2-40B4-BE49-F238E27FC236}">
                <a16:creationId xmlns:a16="http://schemas.microsoft.com/office/drawing/2014/main" id="{FDE866CA-EFA2-248B-C90E-B2466EBB819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603" name="Line 6">
            <a:extLst>
              <a:ext uri="{FF2B5EF4-FFF2-40B4-BE49-F238E27FC236}">
                <a16:creationId xmlns:a16="http://schemas.microsoft.com/office/drawing/2014/main" id="{6B9C5A5C-7127-1455-9F94-180C35F0409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604" name="Group 7">
            <a:extLst>
              <a:ext uri="{FF2B5EF4-FFF2-40B4-BE49-F238E27FC236}">
                <a16:creationId xmlns:a16="http://schemas.microsoft.com/office/drawing/2014/main" id="{D85312EA-ADC4-AE15-9EAA-0CE4690AEDB9}"/>
              </a:ext>
            </a:extLst>
          </xdr:cNvPr>
          <xdr:cNvGrpSpPr>
            <a:grpSpLocks/>
          </xdr:cNvGrpSpPr>
        </xdr:nvGrpSpPr>
        <xdr:grpSpPr bwMode="auto">
          <a:xfrm>
            <a:off x="0" y="0"/>
            <a:ext cx="0" cy="0"/>
            <a:chOff x="4400000" y="22800000"/>
            <a:chExt cx="0" cy="0"/>
          </a:xfrm>
        </xdr:grpSpPr>
        <xdr:sp macro="" textlink="">
          <xdr:nvSpPr>
            <xdr:cNvPr id="229606" name="Line 8">
              <a:extLst>
                <a:ext uri="{FF2B5EF4-FFF2-40B4-BE49-F238E27FC236}">
                  <a16:creationId xmlns:a16="http://schemas.microsoft.com/office/drawing/2014/main" id="{DDC0476F-9FE9-867F-A1BF-E057EEC73E68}"/>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607" name="Line 9">
              <a:extLst>
                <a:ext uri="{FF2B5EF4-FFF2-40B4-BE49-F238E27FC236}">
                  <a16:creationId xmlns:a16="http://schemas.microsoft.com/office/drawing/2014/main" id="{7CAE45FB-086C-43AD-53B9-F9EA21508CA1}"/>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605" name="Line 10">
            <a:extLst>
              <a:ext uri="{FF2B5EF4-FFF2-40B4-BE49-F238E27FC236}">
                <a16:creationId xmlns:a16="http://schemas.microsoft.com/office/drawing/2014/main" id="{D0D0FD47-3C1B-E43A-45D1-B848D571AEF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32</xdr:row>
      <xdr:rowOff>0</xdr:rowOff>
    </xdr:from>
    <xdr:to>
      <xdr:col>4</xdr:col>
      <xdr:colOff>0</xdr:colOff>
      <xdr:row>32</xdr:row>
      <xdr:rowOff>0</xdr:rowOff>
    </xdr:to>
    <xdr:grpSp>
      <xdr:nvGrpSpPr>
        <xdr:cNvPr id="229540" name="Group 11">
          <a:extLst>
            <a:ext uri="{FF2B5EF4-FFF2-40B4-BE49-F238E27FC236}">
              <a16:creationId xmlns:a16="http://schemas.microsoft.com/office/drawing/2014/main" id="{A8D67038-CBB2-4C9E-2E8C-9C6F3DADF7DD}"/>
            </a:ext>
          </a:extLst>
        </xdr:cNvPr>
        <xdr:cNvGrpSpPr>
          <a:grpSpLocks/>
        </xdr:cNvGrpSpPr>
      </xdr:nvGrpSpPr>
      <xdr:grpSpPr bwMode="auto">
        <a:xfrm>
          <a:off x="3005667" y="5729111"/>
          <a:ext cx="0" cy="0"/>
          <a:chOff x="3005667" y="5729111"/>
          <a:chExt cx="0" cy="0"/>
        </a:xfrm>
      </xdr:grpSpPr>
      <xdr:sp macro="" textlink="">
        <xdr:nvSpPr>
          <xdr:cNvPr id="229596" name="Line 12">
            <a:extLst>
              <a:ext uri="{FF2B5EF4-FFF2-40B4-BE49-F238E27FC236}">
                <a16:creationId xmlns:a16="http://schemas.microsoft.com/office/drawing/2014/main" id="{E48EEC19-3413-C162-2EA1-954E40B8AD8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97" name="Line 13">
            <a:extLst>
              <a:ext uri="{FF2B5EF4-FFF2-40B4-BE49-F238E27FC236}">
                <a16:creationId xmlns:a16="http://schemas.microsoft.com/office/drawing/2014/main" id="{22A68F03-E30C-A802-5E2E-42BA4DA5A72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98" name="Group 14">
            <a:extLst>
              <a:ext uri="{FF2B5EF4-FFF2-40B4-BE49-F238E27FC236}">
                <a16:creationId xmlns:a16="http://schemas.microsoft.com/office/drawing/2014/main" id="{29F6F1D0-C4A5-4B5D-BB09-47F165A32700}"/>
              </a:ext>
            </a:extLst>
          </xdr:cNvPr>
          <xdr:cNvGrpSpPr>
            <a:grpSpLocks/>
          </xdr:cNvGrpSpPr>
        </xdr:nvGrpSpPr>
        <xdr:grpSpPr bwMode="auto">
          <a:xfrm>
            <a:off x="0" y="0"/>
            <a:ext cx="0" cy="0"/>
            <a:chOff x="4400000" y="44900000"/>
            <a:chExt cx="0" cy="0"/>
          </a:xfrm>
        </xdr:grpSpPr>
        <xdr:sp macro="" textlink="">
          <xdr:nvSpPr>
            <xdr:cNvPr id="229600" name="Line 15">
              <a:extLst>
                <a:ext uri="{FF2B5EF4-FFF2-40B4-BE49-F238E27FC236}">
                  <a16:creationId xmlns:a16="http://schemas.microsoft.com/office/drawing/2014/main" id="{CBD84E83-1E25-3CA3-144A-9F4CE7DE3311}"/>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601" name="Line 16">
              <a:extLst>
                <a:ext uri="{FF2B5EF4-FFF2-40B4-BE49-F238E27FC236}">
                  <a16:creationId xmlns:a16="http://schemas.microsoft.com/office/drawing/2014/main" id="{2B3D96AF-8838-8ADE-67B5-E9FF41DDBEBB}"/>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99" name="Line 17">
            <a:extLst>
              <a:ext uri="{FF2B5EF4-FFF2-40B4-BE49-F238E27FC236}">
                <a16:creationId xmlns:a16="http://schemas.microsoft.com/office/drawing/2014/main" id="{C3FD0B48-26AD-DB3F-9F34-8566A4B4AE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32</xdr:row>
      <xdr:rowOff>0</xdr:rowOff>
    </xdr:from>
    <xdr:to>
      <xdr:col>4</xdr:col>
      <xdr:colOff>0</xdr:colOff>
      <xdr:row>32</xdr:row>
      <xdr:rowOff>0</xdr:rowOff>
    </xdr:to>
    <xdr:grpSp>
      <xdr:nvGrpSpPr>
        <xdr:cNvPr id="229541" name="Group 18">
          <a:extLst>
            <a:ext uri="{FF2B5EF4-FFF2-40B4-BE49-F238E27FC236}">
              <a16:creationId xmlns:a16="http://schemas.microsoft.com/office/drawing/2014/main" id="{ADF43B51-A1C1-F3C4-2979-F3C4639AA4E5}"/>
            </a:ext>
          </a:extLst>
        </xdr:cNvPr>
        <xdr:cNvGrpSpPr>
          <a:grpSpLocks/>
        </xdr:cNvGrpSpPr>
      </xdr:nvGrpSpPr>
      <xdr:grpSpPr bwMode="auto">
        <a:xfrm>
          <a:off x="3005667" y="5729111"/>
          <a:ext cx="0" cy="0"/>
          <a:chOff x="-110" y="0"/>
          <a:chExt cx="19968" cy="0"/>
        </a:xfrm>
      </xdr:grpSpPr>
      <xdr:sp macro="" textlink="">
        <xdr:nvSpPr>
          <xdr:cNvPr id="229590" name="Line 19">
            <a:extLst>
              <a:ext uri="{FF2B5EF4-FFF2-40B4-BE49-F238E27FC236}">
                <a16:creationId xmlns:a16="http://schemas.microsoft.com/office/drawing/2014/main" id="{E935989D-E5BB-0718-5CB3-898EDCEAA110}"/>
              </a:ext>
            </a:extLst>
          </xdr:cNvPr>
          <xdr:cNvSpPr>
            <a:spLocks noChangeShapeType="1"/>
          </xdr:cNvSpPr>
        </xdr:nvSpPr>
        <xdr:spPr bwMode="auto">
          <a:xfrm>
            <a:off x="-110" y="0"/>
            <a:ext cx="13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91" name="Line 20">
            <a:extLst>
              <a:ext uri="{FF2B5EF4-FFF2-40B4-BE49-F238E27FC236}">
                <a16:creationId xmlns:a16="http://schemas.microsoft.com/office/drawing/2014/main" id="{42554678-98F6-AF96-7B95-25707E6B734C}"/>
              </a:ext>
            </a:extLst>
          </xdr:cNvPr>
          <xdr:cNvSpPr>
            <a:spLocks noChangeShapeType="1"/>
          </xdr:cNvSpPr>
        </xdr:nvSpPr>
        <xdr:spPr bwMode="auto">
          <a:xfrm>
            <a:off x="19858"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92" name="Group 21">
            <a:extLst>
              <a:ext uri="{FF2B5EF4-FFF2-40B4-BE49-F238E27FC236}">
                <a16:creationId xmlns:a16="http://schemas.microsoft.com/office/drawing/2014/main" id="{EB71F8AD-BFC8-1434-1A4A-98225820333B}"/>
              </a:ext>
            </a:extLst>
          </xdr:cNvPr>
          <xdr:cNvGrpSpPr>
            <a:grpSpLocks/>
          </xdr:cNvGrpSpPr>
        </xdr:nvGrpSpPr>
        <xdr:grpSpPr bwMode="auto">
          <a:xfrm>
            <a:off x="-110" y="0"/>
            <a:ext cx="6864" cy="0"/>
            <a:chOff x="4400000" y="44900000"/>
            <a:chExt cx="440000" cy="0"/>
          </a:xfrm>
        </xdr:grpSpPr>
        <xdr:sp macro="" textlink="">
          <xdr:nvSpPr>
            <xdr:cNvPr id="229594" name="Line 22">
              <a:extLst>
                <a:ext uri="{FF2B5EF4-FFF2-40B4-BE49-F238E27FC236}">
                  <a16:creationId xmlns:a16="http://schemas.microsoft.com/office/drawing/2014/main" id="{62AFAAA5-8E8D-842B-04E1-0EAB36361A07}"/>
                </a:ext>
              </a:extLst>
            </xdr:cNvPr>
            <xdr:cNvSpPr>
              <a:spLocks noChangeShapeType="1"/>
            </xdr:cNvSpPr>
          </xdr:nvSpPr>
          <xdr:spPr bwMode="auto">
            <a:xfrm flipH="1">
              <a:off x="4400000" y="44900000"/>
              <a:ext cx="44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95" name="Line 23">
              <a:extLst>
                <a:ext uri="{FF2B5EF4-FFF2-40B4-BE49-F238E27FC236}">
                  <a16:creationId xmlns:a16="http://schemas.microsoft.com/office/drawing/2014/main" id="{D4D153F2-3808-9B13-2589-7FDB7FF56BC7}"/>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93" name="Line 24">
            <a:extLst>
              <a:ext uri="{FF2B5EF4-FFF2-40B4-BE49-F238E27FC236}">
                <a16:creationId xmlns:a16="http://schemas.microsoft.com/office/drawing/2014/main" id="{86E7DD0A-0DF8-9DA6-A0E1-9F42777A780E}"/>
              </a:ext>
            </a:extLst>
          </xdr:cNvPr>
          <xdr:cNvSpPr>
            <a:spLocks noChangeShapeType="1"/>
          </xdr:cNvSpPr>
        </xdr:nvSpPr>
        <xdr:spPr bwMode="auto">
          <a:xfrm>
            <a:off x="13306" y="0"/>
            <a:ext cx="655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61</xdr:row>
      <xdr:rowOff>0</xdr:rowOff>
    </xdr:from>
    <xdr:to>
      <xdr:col>4</xdr:col>
      <xdr:colOff>0</xdr:colOff>
      <xdr:row>61</xdr:row>
      <xdr:rowOff>0</xdr:rowOff>
    </xdr:to>
    <xdr:sp macro="" textlink="">
      <xdr:nvSpPr>
        <xdr:cNvPr id="229542" name="Rectangle 722">
          <a:extLst>
            <a:ext uri="{FF2B5EF4-FFF2-40B4-BE49-F238E27FC236}">
              <a16:creationId xmlns:a16="http://schemas.microsoft.com/office/drawing/2014/main" id="{05E79B9A-35FA-E68C-47EA-CD9B1188A43C}"/>
            </a:ext>
          </a:extLst>
        </xdr:cNvPr>
        <xdr:cNvSpPr>
          <a:spLocks noChangeArrowheads="1"/>
        </xdr:cNvSpPr>
      </xdr:nvSpPr>
      <xdr:spPr bwMode="auto">
        <a:xfrm>
          <a:off x="2714625" y="102965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61</xdr:row>
      <xdr:rowOff>0</xdr:rowOff>
    </xdr:from>
    <xdr:to>
      <xdr:col>4</xdr:col>
      <xdr:colOff>0</xdr:colOff>
      <xdr:row>61</xdr:row>
      <xdr:rowOff>0</xdr:rowOff>
    </xdr:to>
    <xdr:sp macro="" textlink="">
      <xdr:nvSpPr>
        <xdr:cNvPr id="229543" name="Line 723">
          <a:extLst>
            <a:ext uri="{FF2B5EF4-FFF2-40B4-BE49-F238E27FC236}">
              <a16:creationId xmlns:a16="http://schemas.microsoft.com/office/drawing/2014/main" id="{4EBE6035-D286-88C9-7043-1B23840C2AF1}"/>
            </a:ext>
          </a:extLst>
        </xdr:cNvPr>
        <xdr:cNvSpPr>
          <a:spLocks noChangeShapeType="1"/>
        </xdr:cNvSpPr>
      </xdr:nvSpPr>
      <xdr:spPr bwMode="auto">
        <a:xfrm>
          <a:off x="2714625" y="10296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61</xdr:row>
      <xdr:rowOff>0</xdr:rowOff>
    </xdr:from>
    <xdr:to>
      <xdr:col>4</xdr:col>
      <xdr:colOff>0</xdr:colOff>
      <xdr:row>61</xdr:row>
      <xdr:rowOff>0</xdr:rowOff>
    </xdr:to>
    <xdr:sp macro="" textlink="">
      <xdr:nvSpPr>
        <xdr:cNvPr id="229544" name="Line 724">
          <a:extLst>
            <a:ext uri="{FF2B5EF4-FFF2-40B4-BE49-F238E27FC236}">
              <a16:creationId xmlns:a16="http://schemas.microsoft.com/office/drawing/2014/main" id="{9989FD12-2FC0-DD3D-E204-EE2909936AC7}"/>
            </a:ext>
          </a:extLst>
        </xdr:cNvPr>
        <xdr:cNvSpPr>
          <a:spLocks noChangeShapeType="1"/>
        </xdr:cNvSpPr>
      </xdr:nvSpPr>
      <xdr:spPr bwMode="auto">
        <a:xfrm>
          <a:off x="2714625" y="10296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31</xdr:row>
      <xdr:rowOff>0</xdr:rowOff>
    </xdr:from>
    <xdr:to>
      <xdr:col>4</xdr:col>
      <xdr:colOff>0</xdr:colOff>
      <xdr:row>31</xdr:row>
      <xdr:rowOff>0</xdr:rowOff>
    </xdr:to>
    <xdr:grpSp>
      <xdr:nvGrpSpPr>
        <xdr:cNvPr id="229545" name="Group 725">
          <a:extLst>
            <a:ext uri="{FF2B5EF4-FFF2-40B4-BE49-F238E27FC236}">
              <a16:creationId xmlns:a16="http://schemas.microsoft.com/office/drawing/2014/main" id="{56A2DE2B-EF55-6BD7-A0EF-12A4FAD1A686}"/>
            </a:ext>
          </a:extLst>
        </xdr:cNvPr>
        <xdr:cNvGrpSpPr>
          <a:grpSpLocks/>
        </xdr:cNvGrpSpPr>
      </xdr:nvGrpSpPr>
      <xdr:grpSpPr bwMode="auto">
        <a:xfrm>
          <a:off x="3005667" y="5559778"/>
          <a:ext cx="0" cy="0"/>
          <a:chOff x="3005667" y="5559778"/>
          <a:chExt cx="0" cy="0"/>
        </a:xfrm>
      </xdr:grpSpPr>
      <xdr:sp macro="" textlink="">
        <xdr:nvSpPr>
          <xdr:cNvPr id="229584" name="Line 726">
            <a:extLst>
              <a:ext uri="{FF2B5EF4-FFF2-40B4-BE49-F238E27FC236}">
                <a16:creationId xmlns:a16="http://schemas.microsoft.com/office/drawing/2014/main" id="{1F7EA59C-3D22-B96C-D9D7-0718A589717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85" name="Line 727">
            <a:extLst>
              <a:ext uri="{FF2B5EF4-FFF2-40B4-BE49-F238E27FC236}">
                <a16:creationId xmlns:a16="http://schemas.microsoft.com/office/drawing/2014/main" id="{F54D52A5-CB9D-7B3A-75E7-E2745371EC5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86" name="Group 728">
            <a:extLst>
              <a:ext uri="{FF2B5EF4-FFF2-40B4-BE49-F238E27FC236}">
                <a16:creationId xmlns:a16="http://schemas.microsoft.com/office/drawing/2014/main" id="{5CAE99C7-C0CC-8BC5-4E75-04A4EC7A330D}"/>
              </a:ext>
            </a:extLst>
          </xdr:cNvPr>
          <xdr:cNvGrpSpPr>
            <a:grpSpLocks/>
          </xdr:cNvGrpSpPr>
        </xdr:nvGrpSpPr>
        <xdr:grpSpPr bwMode="auto">
          <a:xfrm>
            <a:off x="0" y="0"/>
            <a:ext cx="0" cy="0"/>
            <a:chOff x="4400000" y="22800000"/>
            <a:chExt cx="0" cy="0"/>
          </a:xfrm>
        </xdr:grpSpPr>
        <xdr:sp macro="" textlink="">
          <xdr:nvSpPr>
            <xdr:cNvPr id="229588" name="Line 729">
              <a:extLst>
                <a:ext uri="{FF2B5EF4-FFF2-40B4-BE49-F238E27FC236}">
                  <a16:creationId xmlns:a16="http://schemas.microsoft.com/office/drawing/2014/main" id="{E4AECF27-B7DF-093E-ECDB-43F09C5E2690}"/>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89" name="Line 730">
              <a:extLst>
                <a:ext uri="{FF2B5EF4-FFF2-40B4-BE49-F238E27FC236}">
                  <a16:creationId xmlns:a16="http://schemas.microsoft.com/office/drawing/2014/main" id="{0C2C8A7E-F4A1-4EB1-A435-D0744B8E2443}"/>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87" name="Line 731">
            <a:extLst>
              <a:ext uri="{FF2B5EF4-FFF2-40B4-BE49-F238E27FC236}">
                <a16:creationId xmlns:a16="http://schemas.microsoft.com/office/drawing/2014/main" id="{519CE2C5-4189-885C-67F0-F30EBF77AC0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61</xdr:row>
      <xdr:rowOff>0</xdr:rowOff>
    </xdr:from>
    <xdr:to>
      <xdr:col>4</xdr:col>
      <xdr:colOff>0</xdr:colOff>
      <xdr:row>61</xdr:row>
      <xdr:rowOff>0</xdr:rowOff>
    </xdr:to>
    <xdr:grpSp>
      <xdr:nvGrpSpPr>
        <xdr:cNvPr id="229546" name="Group 732">
          <a:extLst>
            <a:ext uri="{FF2B5EF4-FFF2-40B4-BE49-F238E27FC236}">
              <a16:creationId xmlns:a16="http://schemas.microsoft.com/office/drawing/2014/main" id="{EA09505E-9B77-7EDF-84B3-000C47693FF2}"/>
            </a:ext>
          </a:extLst>
        </xdr:cNvPr>
        <xdr:cNvGrpSpPr>
          <a:grpSpLocks/>
        </xdr:cNvGrpSpPr>
      </xdr:nvGrpSpPr>
      <xdr:grpSpPr bwMode="auto">
        <a:xfrm>
          <a:off x="3005667" y="10696222"/>
          <a:ext cx="0" cy="0"/>
          <a:chOff x="3005667" y="10696222"/>
          <a:chExt cx="0" cy="0"/>
        </a:xfrm>
      </xdr:grpSpPr>
      <xdr:sp macro="" textlink="">
        <xdr:nvSpPr>
          <xdr:cNvPr id="229578" name="Line 733">
            <a:extLst>
              <a:ext uri="{FF2B5EF4-FFF2-40B4-BE49-F238E27FC236}">
                <a16:creationId xmlns:a16="http://schemas.microsoft.com/office/drawing/2014/main" id="{0653C984-0F73-0E0E-530E-049D5CAD712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79" name="Line 734">
            <a:extLst>
              <a:ext uri="{FF2B5EF4-FFF2-40B4-BE49-F238E27FC236}">
                <a16:creationId xmlns:a16="http://schemas.microsoft.com/office/drawing/2014/main" id="{3D18DCE5-CBED-8B98-B8C3-312DB4128AD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80" name="Group 735">
            <a:extLst>
              <a:ext uri="{FF2B5EF4-FFF2-40B4-BE49-F238E27FC236}">
                <a16:creationId xmlns:a16="http://schemas.microsoft.com/office/drawing/2014/main" id="{CF562605-DCAB-67DA-0909-766F94EC5F36}"/>
              </a:ext>
            </a:extLst>
          </xdr:cNvPr>
          <xdr:cNvGrpSpPr>
            <a:grpSpLocks/>
          </xdr:cNvGrpSpPr>
        </xdr:nvGrpSpPr>
        <xdr:grpSpPr bwMode="auto">
          <a:xfrm>
            <a:off x="0" y="0"/>
            <a:ext cx="0" cy="0"/>
            <a:chOff x="4400000" y="44900000"/>
            <a:chExt cx="0" cy="0"/>
          </a:xfrm>
        </xdr:grpSpPr>
        <xdr:sp macro="" textlink="">
          <xdr:nvSpPr>
            <xdr:cNvPr id="229582" name="Line 736">
              <a:extLst>
                <a:ext uri="{FF2B5EF4-FFF2-40B4-BE49-F238E27FC236}">
                  <a16:creationId xmlns:a16="http://schemas.microsoft.com/office/drawing/2014/main" id="{6059DE45-737D-223F-5A26-8FF12F667146}"/>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83" name="Line 737">
              <a:extLst>
                <a:ext uri="{FF2B5EF4-FFF2-40B4-BE49-F238E27FC236}">
                  <a16:creationId xmlns:a16="http://schemas.microsoft.com/office/drawing/2014/main" id="{90AE320C-085B-3BB6-D142-EB6F0B491284}"/>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81" name="Line 738">
            <a:extLst>
              <a:ext uri="{FF2B5EF4-FFF2-40B4-BE49-F238E27FC236}">
                <a16:creationId xmlns:a16="http://schemas.microsoft.com/office/drawing/2014/main" id="{18867A71-D650-547E-468E-24F51878C06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61</xdr:row>
      <xdr:rowOff>0</xdr:rowOff>
    </xdr:from>
    <xdr:to>
      <xdr:col>4</xdr:col>
      <xdr:colOff>0</xdr:colOff>
      <xdr:row>61</xdr:row>
      <xdr:rowOff>0</xdr:rowOff>
    </xdr:to>
    <xdr:grpSp>
      <xdr:nvGrpSpPr>
        <xdr:cNvPr id="229547" name="Group 739">
          <a:extLst>
            <a:ext uri="{FF2B5EF4-FFF2-40B4-BE49-F238E27FC236}">
              <a16:creationId xmlns:a16="http://schemas.microsoft.com/office/drawing/2014/main" id="{234C096D-5C12-8458-56EE-E464D89EED0C}"/>
            </a:ext>
          </a:extLst>
        </xdr:cNvPr>
        <xdr:cNvGrpSpPr>
          <a:grpSpLocks/>
        </xdr:cNvGrpSpPr>
      </xdr:nvGrpSpPr>
      <xdr:grpSpPr bwMode="auto">
        <a:xfrm>
          <a:off x="3005667" y="10696222"/>
          <a:ext cx="0" cy="0"/>
          <a:chOff x="-110" y="0"/>
          <a:chExt cx="19968" cy="0"/>
        </a:xfrm>
      </xdr:grpSpPr>
      <xdr:sp macro="" textlink="">
        <xdr:nvSpPr>
          <xdr:cNvPr id="229572" name="Line 740">
            <a:extLst>
              <a:ext uri="{FF2B5EF4-FFF2-40B4-BE49-F238E27FC236}">
                <a16:creationId xmlns:a16="http://schemas.microsoft.com/office/drawing/2014/main" id="{0F7E1D21-177D-2CA8-4C45-83A8FB97F02C}"/>
              </a:ext>
            </a:extLst>
          </xdr:cNvPr>
          <xdr:cNvSpPr>
            <a:spLocks noChangeShapeType="1"/>
          </xdr:cNvSpPr>
        </xdr:nvSpPr>
        <xdr:spPr bwMode="auto">
          <a:xfrm>
            <a:off x="-110" y="0"/>
            <a:ext cx="13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73" name="Line 741">
            <a:extLst>
              <a:ext uri="{FF2B5EF4-FFF2-40B4-BE49-F238E27FC236}">
                <a16:creationId xmlns:a16="http://schemas.microsoft.com/office/drawing/2014/main" id="{5E47F7B8-FE8D-E848-2428-EE4B35E77EFE}"/>
              </a:ext>
            </a:extLst>
          </xdr:cNvPr>
          <xdr:cNvSpPr>
            <a:spLocks noChangeShapeType="1"/>
          </xdr:cNvSpPr>
        </xdr:nvSpPr>
        <xdr:spPr bwMode="auto">
          <a:xfrm>
            <a:off x="19858"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74" name="Group 742">
            <a:extLst>
              <a:ext uri="{FF2B5EF4-FFF2-40B4-BE49-F238E27FC236}">
                <a16:creationId xmlns:a16="http://schemas.microsoft.com/office/drawing/2014/main" id="{073E4FBC-2608-92F9-C1E8-8B8EB5A4E27F}"/>
              </a:ext>
            </a:extLst>
          </xdr:cNvPr>
          <xdr:cNvGrpSpPr>
            <a:grpSpLocks/>
          </xdr:cNvGrpSpPr>
        </xdr:nvGrpSpPr>
        <xdr:grpSpPr bwMode="auto">
          <a:xfrm>
            <a:off x="-110" y="0"/>
            <a:ext cx="6864" cy="0"/>
            <a:chOff x="4400000" y="44900000"/>
            <a:chExt cx="440000" cy="0"/>
          </a:xfrm>
        </xdr:grpSpPr>
        <xdr:sp macro="" textlink="">
          <xdr:nvSpPr>
            <xdr:cNvPr id="229576" name="Line 743">
              <a:extLst>
                <a:ext uri="{FF2B5EF4-FFF2-40B4-BE49-F238E27FC236}">
                  <a16:creationId xmlns:a16="http://schemas.microsoft.com/office/drawing/2014/main" id="{B5E7CC73-36EC-9813-EC86-D0353C41E0C9}"/>
                </a:ext>
              </a:extLst>
            </xdr:cNvPr>
            <xdr:cNvSpPr>
              <a:spLocks noChangeShapeType="1"/>
            </xdr:cNvSpPr>
          </xdr:nvSpPr>
          <xdr:spPr bwMode="auto">
            <a:xfrm flipH="1">
              <a:off x="4400000" y="44900000"/>
              <a:ext cx="44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77" name="Line 744">
              <a:extLst>
                <a:ext uri="{FF2B5EF4-FFF2-40B4-BE49-F238E27FC236}">
                  <a16:creationId xmlns:a16="http://schemas.microsoft.com/office/drawing/2014/main" id="{13A6A05E-D86C-25A2-6A65-DA7041486EE2}"/>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75" name="Line 745">
            <a:extLst>
              <a:ext uri="{FF2B5EF4-FFF2-40B4-BE49-F238E27FC236}">
                <a16:creationId xmlns:a16="http://schemas.microsoft.com/office/drawing/2014/main" id="{D9CE2F10-DF07-B755-4EB6-FBD287A3AF70}"/>
              </a:ext>
            </a:extLst>
          </xdr:cNvPr>
          <xdr:cNvSpPr>
            <a:spLocks noChangeShapeType="1"/>
          </xdr:cNvSpPr>
        </xdr:nvSpPr>
        <xdr:spPr bwMode="auto">
          <a:xfrm>
            <a:off x="13306" y="0"/>
            <a:ext cx="655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97</xdr:row>
      <xdr:rowOff>0</xdr:rowOff>
    </xdr:from>
    <xdr:to>
      <xdr:col>4</xdr:col>
      <xdr:colOff>0</xdr:colOff>
      <xdr:row>97</xdr:row>
      <xdr:rowOff>0</xdr:rowOff>
    </xdr:to>
    <xdr:sp macro="" textlink="">
      <xdr:nvSpPr>
        <xdr:cNvPr id="229548" name="Rectangle 746">
          <a:extLst>
            <a:ext uri="{FF2B5EF4-FFF2-40B4-BE49-F238E27FC236}">
              <a16:creationId xmlns:a16="http://schemas.microsoft.com/office/drawing/2014/main" id="{CBE53541-48D2-D10D-9138-B8A7F43E2DD5}"/>
            </a:ext>
          </a:extLst>
        </xdr:cNvPr>
        <xdr:cNvSpPr>
          <a:spLocks noChangeArrowheads="1"/>
        </xdr:cNvSpPr>
      </xdr:nvSpPr>
      <xdr:spPr bwMode="auto">
        <a:xfrm>
          <a:off x="2714625" y="16125825"/>
          <a:ext cx="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97</xdr:row>
      <xdr:rowOff>0</xdr:rowOff>
    </xdr:from>
    <xdr:to>
      <xdr:col>4</xdr:col>
      <xdr:colOff>0</xdr:colOff>
      <xdr:row>97</xdr:row>
      <xdr:rowOff>0</xdr:rowOff>
    </xdr:to>
    <xdr:sp macro="" textlink="">
      <xdr:nvSpPr>
        <xdr:cNvPr id="229549" name="Line 747">
          <a:extLst>
            <a:ext uri="{FF2B5EF4-FFF2-40B4-BE49-F238E27FC236}">
              <a16:creationId xmlns:a16="http://schemas.microsoft.com/office/drawing/2014/main" id="{CC2589DE-006C-1C6D-06C2-E84CA7B46EB7}"/>
            </a:ext>
          </a:extLst>
        </xdr:cNvPr>
        <xdr:cNvSpPr>
          <a:spLocks noChangeShapeType="1"/>
        </xdr:cNvSpPr>
      </xdr:nvSpPr>
      <xdr:spPr bwMode="auto">
        <a:xfrm>
          <a:off x="2714625" y="16125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97</xdr:row>
      <xdr:rowOff>0</xdr:rowOff>
    </xdr:from>
    <xdr:to>
      <xdr:col>4</xdr:col>
      <xdr:colOff>0</xdr:colOff>
      <xdr:row>97</xdr:row>
      <xdr:rowOff>0</xdr:rowOff>
    </xdr:to>
    <xdr:sp macro="" textlink="">
      <xdr:nvSpPr>
        <xdr:cNvPr id="229550" name="Line 748">
          <a:extLst>
            <a:ext uri="{FF2B5EF4-FFF2-40B4-BE49-F238E27FC236}">
              <a16:creationId xmlns:a16="http://schemas.microsoft.com/office/drawing/2014/main" id="{D314EE65-9328-A655-5C29-618237F06115}"/>
            </a:ext>
          </a:extLst>
        </xdr:cNvPr>
        <xdr:cNvSpPr>
          <a:spLocks noChangeShapeType="1"/>
        </xdr:cNvSpPr>
      </xdr:nvSpPr>
      <xdr:spPr bwMode="auto">
        <a:xfrm>
          <a:off x="2714625" y="16125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39</xdr:row>
      <xdr:rowOff>0</xdr:rowOff>
    </xdr:from>
    <xdr:to>
      <xdr:col>4</xdr:col>
      <xdr:colOff>0</xdr:colOff>
      <xdr:row>39</xdr:row>
      <xdr:rowOff>0</xdr:rowOff>
    </xdr:to>
    <xdr:grpSp>
      <xdr:nvGrpSpPr>
        <xdr:cNvPr id="229551" name="Group 749">
          <a:extLst>
            <a:ext uri="{FF2B5EF4-FFF2-40B4-BE49-F238E27FC236}">
              <a16:creationId xmlns:a16="http://schemas.microsoft.com/office/drawing/2014/main" id="{5298C0F1-9902-8E21-60F6-D376AD27FB21}"/>
            </a:ext>
          </a:extLst>
        </xdr:cNvPr>
        <xdr:cNvGrpSpPr>
          <a:grpSpLocks/>
        </xdr:cNvGrpSpPr>
      </xdr:nvGrpSpPr>
      <xdr:grpSpPr bwMode="auto">
        <a:xfrm>
          <a:off x="3005667" y="6970889"/>
          <a:ext cx="0" cy="0"/>
          <a:chOff x="3005667" y="6970889"/>
          <a:chExt cx="0" cy="0"/>
        </a:xfrm>
      </xdr:grpSpPr>
      <xdr:sp macro="" textlink="">
        <xdr:nvSpPr>
          <xdr:cNvPr id="229566" name="Line 750">
            <a:extLst>
              <a:ext uri="{FF2B5EF4-FFF2-40B4-BE49-F238E27FC236}">
                <a16:creationId xmlns:a16="http://schemas.microsoft.com/office/drawing/2014/main" id="{1EAEFEC0-C472-E47E-2663-79D7E2D8F23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67" name="Line 751">
            <a:extLst>
              <a:ext uri="{FF2B5EF4-FFF2-40B4-BE49-F238E27FC236}">
                <a16:creationId xmlns:a16="http://schemas.microsoft.com/office/drawing/2014/main" id="{7323AAFD-91F2-525D-06A4-2768BF3ECC2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68" name="Group 752">
            <a:extLst>
              <a:ext uri="{FF2B5EF4-FFF2-40B4-BE49-F238E27FC236}">
                <a16:creationId xmlns:a16="http://schemas.microsoft.com/office/drawing/2014/main" id="{4BC67E49-A44B-0E3C-2DA7-600812705A2A}"/>
              </a:ext>
            </a:extLst>
          </xdr:cNvPr>
          <xdr:cNvGrpSpPr>
            <a:grpSpLocks/>
          </xdr:cNvGrpSpPr>
        </xdr:nvGrpSpPr>
        <xdr:grpSpPr bwMode="auto">
          <a:xfrm>
            <a:off x="0" y="0"/>
            <a:ext cx="0" cy="0"/>
            <a:chOff x="4400000" y="22800000"/>
            <a:chExt cx="0" cy="0"/>
          </a:xfrm>
        </xdr:grpSpPr>
        <xdr:sp macro="" textlink="">
          <xdr:nvSpPr>
            <xdr:cNvPr id="229570" name="Line 753">
              <a:extLst>
                <a:ext uri="{FF2B5EF4-FFF2-40B4-BE49-F238E27FC236}">
                  <a16:creationId xmlns:a16="http://schemas.microsoft.com/office/drawing/2014/main" id="{80E58649-5990-2E85-A12B-2BB274DF3C85}"/>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71" name="Line 754">
              <a:extLst>
                <a:ext uri="{FF2B5EF4-FFF2-40B4-BE49-F238E27FC236}">
                  <a16:creationId xmlns:a16="http://schemas.microsoft.com/office/drawing/2014/main" id="{BAA84788-BA5B-1503-842B-2FDB37453507}"/>
                </a:ext>
              </a:extLst>
            </xdr:cNvPr>
            <xdr:cNvSpPr>
              <a:spLocks noChangeShapeType="1"/>
            </xdr:cNvSpPr>
          </xdr:nvSpPr>
          <xdr:spPr bwMode="auto">
            <a:xfrm>
              <a:off x="4400000" y="228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69" name="Line 755">
            <a:extLst>
              <a:ext uri="{FF2B5EF4-FFF2-40B4-BE49-F238E27FC236}">
                <a16:creationId xmlns:a16="http://schemas.microsoft.com/office/drawing/2014/main" id="{3DC707C9-8266-7DBA-9573-A036485C20A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97</xdr:row>
      <xdr:rowOff>0</xdr:rowOff>
    </xdr:from>
    <xdr:to>
      <xdr:col>4</xdr:col>
      <xdr:colOff>0</xdr:colOff>
      <xdr:row>97</xdr:row>
      <xdr:rowOff>0</xdr:rowOff>
    </xdr:to>
    <xdr:grpSp>
      <xdr:nvGrpSpPr>
        <xdr:cNvPr id="229552" name="Group 756">
          <a:extLst>
            <a:ext uri="{FF2B5EF4-FFF2-40B4-BE49-F238E27FC236}">
              <a16:creationId xmlns:a16="http://schemas.microsoft.com/office/drawing/2014/main" id="{CA7EB527-9A40-CF32-4A63-ACB0156BBFE0}"/>
            </a:ext>
          </a:extLst>
        </xdr:cNvPr>
        <xdr:cNvGrpSpPr>
          <a:grpSpLocks/>
        </xdr:cNvGrpSpPr>
      </xdr:nvGrpSpPr>
      <xdr:grpSpPr bwMode="auto">
        <a:xfrm>
          <a:off x="3005667" y="16792222"/>
          <a:ext cx="0" cy="0"/>
          <a:chOff x="3005667" y="16792222"/>
          <a:chExt cx="0" cy="0"/>
        </a:xfrm>
      </xdr:grpSpPr>
      <xdr:sp macro="" textlink="">
        <xdr:nvSpPr>
          <xdr:cNvPr id="229560" name="Line 757">
            <a:extLst>
              <a:ext uri="{FF2B5EF4-FFF2-40B4-BE49-F238E27FC236}">
                <a16:creationId xmlns:a16="http://schemas.microsoft.com/office/drawing/2014/main" id="{80321984-1547-F73F-0E10-D5ECFEA2EFD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61" name="Line 758">
            <a:extLst>
              <a:ext uri="{FF2B5EF4-FFF2-40B4-BE49-F238E27FC236}">
                <a16:creationId xmlns:a16="http://schemas.microsoft.com/office/drawing/2014/main" id="{2EB61500-575C-DA60-9438-A7404C05EDF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62" name="Group 759">
            <a:extLst>
              <a:ext uri="{FF2B5EF4-FFF2-40B4-BE49-F238E27FC236}">
                <a16:creationId xmlns:a16="http://schemas.microsoft.com/office/drawing/2014/main" id="{D8B70190-D6BD-24E4-B7E2-8DE87AA11EF5}"/>
              </a:ext>
            </a:extLst>
          </xdr:cNvPr>
          <xdr:cNvGrpSpPr>
            <a:grpSpLocks/>
          </xdr:cNvGrpSpPr>
        </xdr:nvGrpSpPr>
        <xdr:grpSpPr bwMode="auto">
          <a:xfrm>
            <a:off x="0" y="0"/>
            <a:ext cx="0" cy="0"/>
            <a:chOff x="4400000" y="44900000"/>
            <a:chExt cx="0" cy="0"/>
          </a:xfrm>
        </xdr:grpSpPr>
        <xdr:sp macro="" textlink="">
          <xdr:nvSpPr>
            <xdr:cNvPr id="229564" name="Line 760">
              <a:extLst>
                <a:ext uri="{FF2B5EF4-FFF2-40B4-BE49-F238E27FC236}">
                  <a16:creationId xmlns:a16="http://schemas.microsoft.com/office/drawing/2014/main" id="{E7BCBCCC-471E-4CA1-EB8A-361F3E91E066}"/>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65" name="Line 761">
              <a:extLst>
                <a:ext uri="{FF2B5EF4-FFF2-40B4-BE49-F238E27FC236}">
                  <a16:creationId xmlns:a16="http://schemas.microsoft.com/office/drawing/2014/main" id="{F86C6E06-6A35-B5B6-DDFB-1D84D920DE8F}"/>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63" name="Line 762">
            <a:extLst>
              <a:ext uri="{FF2B5EF4-FFF2-40B4-BE49-F238E27FC236}">
                <a16:creationId xmlns:a16="http://schemas.microsoft.com/office/drawing/2014/main" id="{F4826AEC-D74F-9DE4-5F29-ACFA66833B9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0</xdr:colOff>
      <xdr:row>97</xdr:row>
      <xdr:rowOff>0</xdr:rowOff>
    </xdr:from>
    <xdr:to>
      <xdr:col>4</xdr:col>
      <xdr:colOff>0</xdr:colOff>
      <xdr:row>97</xdr:row>
      <xdr:rowOff>0</xdr:rowOff>
    </xdr:to>
    <xdr:grpSp>
      <xdr:nvGrpSpPr>
        <xdr:cNvPr id="229553" name="Group 763">
          <a:extLst>
            <a:ext uri="{FF2B5EF4-FFF2-40B4-BE49-F238E27FC236}">
              <a16:creationId xmlns:a16="http://schemas.microsoft.com/office/drawing/2014/main" id="{442B73D4-67FA-B9C2-D222-41C684193814}"/>
            </a:ext>
          </a:extLst>
        </xdr:cNvPr>
        <xdr:cNvGrpSpPr>
          <a:grpSpLocks/>
        </xdr:cNvGrpSpPr>
      </xdr:nvGrpSpPr>
      <xdr:grpSpPr bwMode="auto">
        <a:xfrm>
          <a:off x="3005667" y="16792222"/>
          <a:ext cx="0" cy="0"/>
          <a:chOff x="-110" y="0"/>
          <a:chExt cx="19968" cy="0"/>
        </a:xfrm>
      </xdr:grpSpPr>
      <xdr:sp macro="" textlink="">
        <xdr:nvSpPr>
          <xdr:cNvPr id="229554" name="Line 764">
            <a:extLst>
              <a:ext uri="{FF2B5EF4-FFF2-40B4-BE49-F238E27FC236}">
                <a16:creationId xmlns:a16="http://schemas.microsoft.com/office/drawing/2014/main" id="{B492CBCB-0389-FBD7-A87D-444351928365}"/>
              </a:ext>
            </a:extLst>
          </xdr:cNvPr>
          <xdr:cNvSpPr>
            <a:spLocks noChangeShapeType="1"/>
          </xdr:cNvSpPr>
        </xdr:nvSpPr>
        <xdr:spPr bwMode="auto">
          <a:xfrm>
            <a:off x="-110" y="0"/>
            <a:ext cx="13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55" name="Line 765">
            <a:extLst>
              <a:ext uri="{FF2B5EF4-FFF2-40B4-BE49-F238E27FC236}">
                <a16:creationId xmlns:a16="http://schemas.microsoft.com/office/drawing/2014/main" id="{FCE07BB2-1925-8C6D-3DA3-033B178E0626}"/>
              </a:ext>
            </a:extLst>
          </xdr:cNvPr>
          <xdr:cNvSpPr>
            <a:spLocks noChangeShapeType="1"/>
          </xdr:cNvSpPr>
        </xdr:nvSpPr>
        <xdr:spPr bwMode="auto">
          <a:xfrm>
            <a:off x="19858"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229556" name="Group 766">
            <a:extLst>
              <a:ext uri="{FF2B5EF4-FFF2-40B4-BE49-F238E27FC236}">
                <a16:creationId xmlns:a16="http://schemas.microsoft.com/office/drawing/2014/main" id="{BEF6F809-3069-BEAB-2C0A-20E43492E39F}"/>
              </a:ext>
            </a:extLst>
          </xdr:cNvPr>
          <xdr:cNvGrpSpPr>
            <a:grpSpLocks/>
          </xdr:cNvGrpSpPr>
        </xdr:nvGrpSpPr>
        <xdr:grpSpPr bwMode="auto">
          <a:xfrm>
            <a:off x="-110" y="0"/>
            <a:ext cx="6864" cy="0"/>
            <a:chOff x="4400000" y="44900000"/>
            <a:chExt cx="440000" cy="0"/>
          </a:xfrm>
        </xdr:grpSpPr>
        <xdr:sp macro="" textlink="">
          <xdr:nvSpPr>
            <xdr:cNvPr id="229558" name="Line 767">
              <a:extLst>
                <a:ext uri="{FF2B5EF4-FFF2-40B4-BE49-F238E27FC236}">
                  <a16:creationId xmlns:a16="http://schemas.microsoft.com/office/drawing/2014/main" id="{8ABEFC70-3117-B182-95F5-0BC26F9484F5}"/>
                </a:ext>
              </a:extLst>
            </xdr:cNvPr>
            <xdr:cNvSpPr>
              <a:spLocks noChangeShapeType="1"/>
            </xdr:cNvSpPr>
          </xdr:nvSpPr>
          <xdr:spPr bwMode="auto">
            <a:xfrm flipH="1">
              <a:off x="4400000" y="44900000"/>
              <a:ext cx="44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559" name="Line 768">
              <a:extLst>
                <a:ext uri="{FF2B5EF4-FFF2-40B4-BE49-F238E27FC236}">
                  <a16:creationId xmlns:a16="http://schemas.microsoft.com/office/drawing/2014/main" id="{FE93BC37-DD0E-B419-6659-B8BBB873C397}"/>
                </a:ext>
              </a:extLst>
            </xdr:cNvPr>
            <xdr:cNvSpPr>
              <a:spLocks noChangeShapeType="1"/>
            </xdr:cNvSpPr>
          </xdr:nvSpPr>
          <xdr:spPr bwMode="auto">
            <a:xfrm>
              <a:off x="4400000" y="44900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229557" name="Line 769">
            <a:extLst>
              <a:ext uri="{FF2B5EF4-FFF2-40B4-BE49-F238E27FC236}">
                <a16:creationId xmlns:a16="http://schemas.microsoft.com/office/drawing/2014/main" id="{2BFCEAD1-7D86-8526-20B0-0BEF596961AA}"/>
              </a:ext>
            </a:extLst>
          </xdr:cNvPr>
          <xdr:cNvSpPr>
            <a:spLocks noChangeShapeType="1"/>
          </xdr:cNvSpPr>
        </xdr:nvSpPr>
        <xdr:spPr bwMode="auto">
          <a:xfrm>
            <a:off x="13306" y="0"/>
            <a:ext cx="655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438150</xdr:colOff>
      <xdr:row>16</xdr:row>
      <xdr:rowOff>0</xdr:rowOff>
    </xdr:from>
    <xdr:to>
      <xdr:col>1</xdr:col>
      <xdr:colOff>438150</xdr:colOff>
      <xdr:row>16</xdr:row>
      <xdr:rowOff>0</xdr:rowOff>
    </xdr:to>
    <xdr:sp macro="" textlink="">
      <xdr:nvSpPr>
        <xdr:cNvPr id="197433" name="Line 1">
          <a:extLst>
            <a:ext uri="{FF2B5EF4-FFF2-40B4-BE49-F238E27FC236}">
              <a16:creationId xmlns:a16="http://schemas.microsoft.com/office/drawing/2014/main" id="{2CBE44B5-5A46-648E-2B64-E7AA85F86E6A}"/>
            </a:ext>
          </a:extLst>
        </xdr:cNvPr>
        <xdr:cNvSpPr>
          <a:spLocks noChangeShapeType="1"/>
        </xdr:cNvSpPr>
      </xdr:nvSpPr>
      <xdr:spPr bwMode="auto">
        <a:xfrm>
          <a:off x="590550"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16</xdr:row>
      <xdr:rowOff>0</xdr:rowOff>
    </xdr:from>
    <xdr:to>
      <xdr:col>19</xdr:col>
      <xdr:colOff>0</xdr:colOff>
      <xdr:row>16</xdr:row>
      <xdr:rowOff>0</xdr:rowOff>
    </xdr:to>
    <xdr:sp macro="" textlink="">
      <xdr:nvSpPr>
        <xdr:cNvPr id="197434" name="Line 2">
          <a:extLst>
            <a:ext uri="{FF2B5EF4-FFF2-40B4-BE49-F238E27FC236}">
              <a16:creationId xmlns:a16="http://schemas.microsoft.com/office/drawing/2014/main" id="{CB66F7A1-4618-CFE1-582F-38C3B4065D02}"/>
            </a:ext>
          </a:extLst>
        </xdr:cNvPr>
        <xdr:cNvSpPr>
          <a:spLocks noChangeShapeType="1"/>
        </xdr:cNvSpPr>
      </xdr:nvSpPr>
      <xdr:spPr bwMode="auto">
        <a:xfrm>
          <a:off x="12096750"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xdr:row>
      <xdr:rowOff>0</xdr:rowOff>
    </xdr:from>
    <xdr:to>
      <xdr:col>3</xdr:col>
      <xdr:colOff>0</xdr:colOff>
      <xdr:row>16</xdr:row>
      <xdr:rowOff>0</xdr:rowOff>
    </xdr:to>
    <xdr:sp macro="" textlink="">
      <xdr:nvSpPr>
        <xdr:cNvPr id="197435" name="Line 3">
          <a:extLst>
            <a:ext uri="{FF2B5EF4-FFF2-40B4-BE49-F238E27FC236}">
              <a16:creationId xmlns:a16="http://schemas.microsoft.com/office/drawing/2014/main" id="{1AE7087C-EC60-E18D-B319-1BCAC9C532C6}"/>
            </a:ext>
          </a:extLst>
        </xdr:cNvPr>
        <xdr:cNvSpPr>
          <a:spLocks noChangeShapeType="1"/>
        </xdr:cNvSpPr>
      </xdr:nvSpPr>
      <xdr:spPr bwMode="auto">
        <a:xfrm flipH="1">
          <a:off x="180022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16</xdr:row>
      <xdr:rowOff>0</xdr:rowOff>
    </xdr:from>
    <xdr:to>
      <xdr:col>7</xdr:col>
      <xdr:colOff>0</xdr:colOff>
      <xdr:row>16</xdr:row>
      <xdr:rowOff>0</xdr:rowOff>
    </xdr:to>
    <xdr:sp macro="" textlink="">
      <xdr:nvSpPr>
        <xdr:cNvPr id="197436" name="Line 4">
          <a:extLst>
            <a:ext uri="{FF2B5EF4-FFF2-40B4-BE49-F238E27FC236}">
              <a16:creationId xmlns:a16="http://schemas.microsoft.com/office/drawing/2014/main" id="{112C8DB0-FD71-A76D-4685-F04C29C5B336}"/>
            </a:ext>
          </a:extLst>
        </xdr:cNvPr>
        <xdr:cNvSpPr>
          <a:spLocks noChangeShapeType="1"/>
        </xdr:cNvSpPr>
      </xdr:nvSpPr>
      <xdr:spPr bwMode="auto">
        <a:xfrm flipH="1">
          <a:off x="467677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704850</xdr:colOff>
      <xdr:row>16</xdr:row>
      <xdr:rowOff>0</xdr:rowOff>
    </xdr:from>
    <xdr:to>
      <xdr:col>9</xdr:col>
      <xdr:colOff>590550</xdr:colOff>
      <xdr:row>16</xdr:row>
      <xdr:rowOff>0</xdr:rowOff>
    </xdr:to>
    <xdr:sp macro="" textlink="">
      <xdr:nvSpPr>
        <xdr:cNvPr id="197437" name="Line 5">
          <a:extLst>
            <a:ext uri="{FF2B5EF4-FFF2-40B4-BE49-F238E27FC236}">
              <a16:creationId xmlns:a16="http://schemas.microsoft.com/office/drawing/2014/main" id="{C7C93C71-A201-1C93-B57B-6FE11E87AE7D}"/>
            </a:ext>
          </a:extLst>
        </xdr:cNvPr>
        <xdr:cNvSpPr>
          <a:spLocks noChangeShapeType="1"/>
        </xdr:cNvSpPr>
      </xdr:nvSpPr>
      <xdr:spPr bwMode="auto">
        <a:xfrm flipH="1">
          <a:off x="658177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16</xdr:row>
      <xdr:rowOff>0</xdr:rowOff>
    </xdr:from>
    <xdr:to>
      <xdr:col>13</xdr:col>
      <xdr:colOff>0</xdr:colOff>
      <xdr:row>16</xdr:row>
      <xdr:rowOff>0</xdr:rowOff>
    </xdr:to>
    <xdr:sp macro="" textlink="">
      <xdr:nvSpPr>
        <xdr:cNvPr id="197438" name="Line 6">
          <a:extLst>
            <a:ext uri="{FF2B5EF4-FFF2-40B4-BE49-F238E27FC236}">
              <a16:creationId xmlns:a16="http://schemas.microsoft.com/office/drawing/2014/main" id="{9F29C868-975D-069A-2F80-825CC387C524}"/>
            </a:ext>
          </a:extLst>
        </xdr:cNvPr>
        <xdr:cNvSpPr>
          <a:spLocks noChangeShapeType="1"/>
        </xdr:cNvSpPr>
      </xdr:nvSpPr>
      <xdr:spPr bwMode="auto">
        <a:xfrm flipH="1">
          <a:off x="833437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16</xdr:row>
      <xdr:rowOff>0</xdr:rowOff>
    </xdr:from>
    <xdr:to>
      <xdr:col>16</xdr:col>
      <xdr:colOff>9525</xdr:colOff>
      <xdr:row>16</xdr:row>
      <xdr:rowOff>0</xdr:rowOff>
    </xdr:to>
    <xdr:sp macro="" textlink="">
      <xdr:nvSpPr>
        <xdr:cNvPr id="197439" name="Line 7">
          <a:extLst>
            <a:ext uri="{FF2B5EF4-FFF2-40B4-BE49-F238E27FC236}">
              <a16:creationId xmlns:a16="http://schemas.microsoft.com/office/drawing/2014/main" id="{92DEB481-7180-6A72-4FEF-7B4337D0F20D}"/>
            </a:ext>
          </a:extLst>
        </xdr:cNvPr>
        <xdr:cNvSpPr>
          <a:spLocks noChangeShapeType="1"/>
        </xdr:cNvSpPr>
      </xdr:nvSpPr>
      <xdr:spPr bwMode="auto">
        <a:xfrm flipH="1">
          <a:off x="10039350"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28575</xdr:colOff>
      <xdr:row>16</xdr:row>
      <xdr:rowOff>0</xdr:rowOff>
    </xdr:from>
    <xdr:to>
      <xdr:col>21</xdr:col>
      <xdr:colOff>28575</xdr:colOff>
      <xdr:row>16</xdr:row>
      <xdr:rowOff>0</xdr:rowOff>
    </xdr:to>
    <xdr:sp macro="" textlink="">
      <xdr:nvSpPr>
        <xdr:cNvPr id="197440" name="Line 9">
          <a:extLst>
            <a:ext uri="{FF2B5EF4-FFF2-40B4-BE49-F238E27FC236}">
              <a16:creationId xmlns:a16="http://schemas.microsoft.com/office/drawing/2014/main" id="{2181E409-194E-7B6D-5E29-22D50C0FE96F}"/>
            </a:ext>
          </a:extLst>
        </xdr:cNvPr>
        <xdr:cNvSpPr>
          <a:spLocks noChangeShapeType="1"/>
        </xdr:cNvSpPr>
      </xdr:nvSpPr>
      <xdr:spPr bwMode="auto">
        <a:xfrm>
          <a:off x="1322070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628650</xdr:colOff>
      <xdr:row>16</xdr:row>
      <xdr:rowOff>0</xdr:rowOff>
    </xdr:from>
    <xdr:to>
      <xdr:col>8</xdr:col>
      <xdr:colOff>628650</xdr:colOff>
      <xdr:row>16</xdr:row>
      <xdr:rowOff>0</xdr:rowOff>
    </xdr:to>
    <xdr:sp macro="" textlink="">
      <xdr:nvSpPr>
        <xdr:cNvPr id="197441" name="Line 12">
          <a:extLst>
            <a:ext uri="{FF2B5EF4-FFF2-40B4-BE49-F238E27FC236}">
              <a16:creationId xmlns:a16="http://schemas.microsoft.com/office/drawing/2014/main" id="{D66AE1BF-15C5-C8D1-A1C8-31A585307CD9}"/>
            </a:ext>
          </a:extLst>
        </xdr:cNvPr>
        <xdr:cNvSpPr>
          <a:spLocks noChangeShapeType="1"/>
        </xdr:cNvSpPr>
      </xdr:nvSpPr>
      <xdr:spPr bwMode="auto">
        <a:xfrm flipH="1">
          <a:off x="598170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342900</xdr:colOff>
      <xdr:row>16</xdr:row>
      <xdr:rowOff>0</xdr:rowOff>
    </xdr:from>
    <xdr:to>
      <xdr:col>7</xdr:col>
      <xdr:colOff>342900</xdr:colOff>
      <xdr:row>16</xdr:row>
      <xdr:rowOff>0</xdr:rowOff>
    </xdr:to>
    <xdr:sp macro="" textlink="">
      <xdr:nvSpPr>
        <xdr:cNvPr id="197442" name="Line 13">
          <a:extLst>
            <a:ext uri="{FF2B5EF4-FFF2-40B4-BE49-F238E27FC236}">
              <a16:creationId xmlns:a16="http://schemas.microsoft.com/office/drawing/2014/main" id="{99FF0D26-2542-8BFE-74E7-9DCB6997B77D}"/>
            </a:ext>
          </a:extLst>
        </xdr:cNvPr>
        <xdr:cNvSpPr>
          <a:spLocks noChangeShapeType="1"/>
        </xdr:cNvSpPr>
      </xdr:nvSpPr>
      <xdr:spPr bwMode="auto">
        <a:xfrm>
          <a:off x="501967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xdr:row>
      <xdr:rowOff>0</xdr:rowOff>
    </xdr:from>
    <xdr:to>
      <xdr:col>3</xdr:col>
      <xdr:colOff>0</xdr:colOff>
      <xdr:row>16</xdr:row>
      <xdr:rowOff>0</xdr:rowOff>
    </xdr:to>
    <xdr:sp macro="" textlink="">
      <xdr:nvSpPr>
        <xdr:cNvPr id="197443" name="Line 22">
          <a:extLst>
            <a:ext uri="{FF2B5EF4-FFF2-40B4-BE49-F238E27FC236}">
              <a16:creationId xmlns:a16="http://schemas.microsoft.com/office/drawing/2014/main" id="{AAC2688C-7238-6FE0-D4D6-CA43664C9FAE}"/>
            </a:ext>
          </a:extLst>
        </xdr:cNvPr>
        <xdr:cNvSpPr>
          <a:spLocks noChangeShapeType="1"/>
        </xdr:cNvSpPr>
      </xdr:nvSpPr>
      <xdr:spPr bwMode="auto">
        <a:xfrm flipH="1">
          <a:off x="180022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533400</xdr:colOff>
      <xdr:row>16</xdr:row>
      <xdr:rowOff>0</xdr:rowOff>
    </xdr:from>
    <xdr:to>
      <xdr:col>24</xdr:col>
      <xdr:colOff>533400</xdr:colOff>
      <xdr:row>16</xdr:row>
      <xdr:rowOff>0</xdr:rowOff>
    </xdr:to>
    <xdr:sp macro="" textlink="">
      <xdr:nvSpPr>
        <xdr:cNvPr id="197444" name="Line 24">
          <a:extLst>
            <a:ext uri="{FF2B5EF4-FFF2-40B4-BE49-F238E27FC236}">
              <a16:creationId xmlns:a16="http://schemas.microsoft.com/office/drawing/2014/main" id="{45048AB6-67D7-A1C8-F3A5-C915148F3A85}"/>
            </a:ext>
          </a:extLst>
        </xdr:cNvPr>
        <xdr:cNvSpPr>
          <a:spLocks noChangeShapeType="1"/>
        </xdr:cNvSpPr>
      </xdr:nvSpPr>
      <xdr:spPr bwMode="auto">
        <a:xfrm flipH="1">
          <a:off x="1538287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533400</xdr:colOff>
      <xdr:row>16</xdr:row>
      <xdr:rowOff>0</xdr:rowOff>
    </xdr:from>
    <xdr:to>
      <xdr:col>24</xdr:col>
      <xdr:colOff>533400</xdr:colOff>
      <xdr:row>16</xdr:row>
      <xdr:rowOff>0</xdr:rowOff>
    </xdr:to>
    <xdr:sp macro="" textlink="">
      <xdr:nvSpPr>
        <xdr:cNvPr id="197445" name="Line 25">
          <a:extLst>
            <a:ext uri="{FF2B5EF4-FFF2-40B4-BE49-F238E27FC236}">
              <a16:creationId xmlns:a16="http://schemas.microsoft.com/office/drawing/2014/main" id="{E0F4EF20-93AD-E894-7C6B-E21DEDD79255}"/>
            </a:ext>
          </a:extLst>
        </xdr:cNvPr>
        <xdr:cNvSpPr>
          <a:spLocks noChangeShapeType="1"/>
        </xdr:cNvSpPr>
      </xdr:nvSpPr>
      <xdr:spPr bwMode="auto">
        <a:xfrm flipH="1">
          <a:off x="1538287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533400</xdr:colOff>
      <xdr:row>16</xdr:row>
      <xdr:rowOff>0</xdr:rowOff>
    </xdr:from>
    <xdr:to>
      <xdr:col>24</xdr:col>
      <xdr:colOff>533400</xdr:colOff>
      <xdr:row>16</xdr:row>
      <xdr:rowOff>0</xdr:rowOff>
    </xdr:to>
    <xdr:sp macro="" textlink="">
      <xdr:nvSpPr>
        <xdr:cNvPr id="197446" name="Line 26">
          <a:extLst>
            <a:ext uri="{FF2B5EF4-FFF2-40B4-BE49-F238E27FC236}">
              <a16:creationId xmlns:a16="http://schemas.microsoft.com/office/drawing/2014/main" id="{3BE2B094-77A1-5CD0-5D21-ADC82D69A8C3}"/>
            </a:ext>
          </a:extLst>
        </xdr:cNvPr>
        <xdr:cNvSpPr>
          <a:spLocks noChangeShapeType="1"/>
        </xdr:cNvSpPr>
      </xdr:nvSpPr>
      <xdr:spPr bwMode="auto">
        <a:xfrm flipH="1">
          <a:off x="1538287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16</xdr:row>
      <xdr:rowOff>0</xdr:rowOff>
    </xdr:from>
    <xdr:to>
      <xdr:col>3</xdr:col>
      <xdr:colOff>9525</xdr:colOff>
      <xdr:row>16</xdr:row>
      <xdr:rowOff>0</xdr:rowOff>
    </xdr:to>
    <xdr:sp macro="" textlink="">
      <xdr:nvSpPr>
        <xdr:cNvPr id="197447" name="Line 30">
          <a:extLst>
            <a:ext uri="{FF2B5EF4-FFF2-40B4-BE49-F238E27FC236}">
              <a16:creationId xmlns:a16="http://schemas.microsoft.com/office/drawing/2014/main" id="{9037C1DB-C141-29C4-F727-248446CAF413}"/>
            </a:ext>
          </a:extLst>
        </xdr:cNvPr>
        <xdr:cNvSpPr>
          <a:spLocks noChangeShapeType="1"/>
        </xdr:cNvSpPr>
      </xdr:nvSpPr>
      <xdr:spPr bwMode="auto">
        <a:xfrm>
          <a:off x="180975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476250</xdr:colOff>
      <xdr:row>16</xdr:row>
      <xdr:rowOff>0</xdr:rowOff>
    </xdr:from>
    <xdr:to>
      <xdr:col>26</xdr:col>
      <xdr:colOff>476250</xdr:colOff>
      <xdr:row>16</xdr:row>
      <xdr:rowOff>0</xdr:rowOff>
    </xdr:to>
    <xdr:sp macro="" textlink="">
      <xdr:nvSpPr>
        <xdr:cNvPr id="197448" name="Line 31">
          <a:extLst>
            <a:ext uri="{FF2B5EF4-FFF2-40B4-BE49-F238E27FC236}">
              <a16:creationId xmlns:a16="http://schemas.microsoft.com/office/drawing/2014/main" id="{9F7CD4BC-DAF7-7DD9-F0CA-7EAF94A974B9}"/>
            </a:ext>
          </a:extLst>
        </xdr:cNvPr>
        <xdr:cNvSpPr>
          <a:spLocks noChangeShapeType="1"/>
        </xdr:cNvSpPr>
      </xdr:nvSpPr>
      <xdr:spPr bwMode="auto">
        <a:xfrm flipH="1">
          <a:off x="1627822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xdr:row>
      <xdr:rowOff>0</xdr:rowOff>
    </xdr:from>
    <xdr:to>
      <xdr:col>3</xdr:col>
      <xdr:colOff>0</xdr:colOff>
      <xdr:row>16</xdr:row>
      <xdr:rowOff>0</xdr:rowOff>
    </xdr:to>
    <xdr:sp macro="" textlink="">
      <xdr:nvSpPr>
        <xdr:cNvPr id="197449" name="Line 34">
          <a:extLst>
            <a:ext uri="{FF2B5EF4-FFF2-40B4-BE49-F238E27FC236}">
              <a16:creationId xmlns:a16="http://schemas.microsoft.com/office/drawing/2014/main" id="{72AF3D7B-460E-9E51-0826-593CDCA07D1D}"/>
            </a:ext>
          </a:extLst>
        </xdr:cNvPr>
        <xdr:cNvSpPr>
          <a:spLocks noChangeShapeType="1"/>
        </xdr:cNvSpPr>
      </xdr:nvSpPr>
      <xdr:spPr bwMode="auto">
        <a:xfrm>
          <a:off x="180022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295275</xdr:colOff>
      <xdr:row>16</xdr:row>
      <xdr:rowOff>0</xdr:rowOff>
    </xdr:from>
    <xdr:to>
      <xdr:col>9</xdr:col>
      <xdr:colOff>295275</xdr:colOff>
      <xdr:row>16</xdr:row>
      <xdr:rowOff>0</xdr:rowOff>
    </xdr:to>
    <xdr:sp macro="" textlink="">
      <xdr:nvSpPr>
        <xdr:cNvPr id="197450" name="Line 37">
          <a:extLst>
            <a:ext uri="{FF2B5EF4-FFF2-40B4-BE49-F238E27FC236}">
              <a16:creationId xmlns:a16="http://schemas.microsoft.com/office/drawing/2014/main" id="{E0F5A558-FAAE-40C8-F4B7-70F096A7E945}"/>
            </a:ext>
          </a:extLst>
        </xdr:cNvPr>
        <xdr:cNvSpPr>
          <a:spLocks noChangeShapeType="1"/>
        </xdr:cNvSpPr>
      </xdr:nvSpPr>
      <xdr:spPr bwMode="auto">
        <a:xfrm flipH="1">
          <a:off x="628650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571500</xdr:colOff>
      <xdr:row>16</xdr:row>
      <xdr:rowOff>0</xdr:rowOff>
    </xdr:from>
    <xdr:to>
      <xdr:col>23</xdr:col>
      <xdr:colOff>571500</xdr:colOff>
      <xdr:row>16</xdr:row>
      <xdr:rowOff>0</xdr:rowOff>
    </xdr:to>
    <xdr:sp macro="" textlink="">
      <xdr:nvSpPr>
        <xdr:cNvPr id="197451" name="Line 40">
          <a:extLst>
            <a:ext uri="{FF2B5EF4-FFF2-40B4-BE49-F238E27FC236}">
              <a16:creationId xmlns:a16="http://schemas.microsoft.com/office/drawing/2014/main" id="{F5916D4B-1721-12C4-A4AC-9491D77273A3}"/>
            </a:ext>
          </a:extLst>
        </xdr:cNvPr>
        <xdr:cNvSpPr>
          <a:spLocks noChangeShapeType="1"/>
        </xdr:cNvSpPr>
      </xdr:nvSpPr>
      <xdr:spPr bwMode="auto">
        <a:xfrm>
          <a:off x="14830425" y="3114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28575</xdr:colOff>
      <xdr:row>16</xdr:row>
      <xdr:rowOff>0</xdr:rowOff>
    </xdr:from>
    <xdr:to>
      <xdr:col>6</xdr:col>
      <xdr:colOff>28575</xdr:colOff>
      <xdr:row>16</xdr:row>
      <xdr:rowOff>0</xdr:rowOff>
    </xdr:to>
    <xdr:sp macro="" textlink="">
      <xdr:nvSpPr>
        <xdr:cNvPr id="197452" name="Line 44">
          <a:extLst>
            <a:ext uri="{FF2B5EF4-FFF2-40B4-BE49-F238E27FC236}">
              <a16:creationId xmlns:a16="http://schemas.microsoft.com/office/drawing/2014/main" id="{2596B944-962B-770A-8342-F0085734A651}"/>
            </a:ext>
          </a:extLst>
        </xdr:cNvPr>
        <xdr:cNvSpPr>
          <a:spLocks noChangeShapeType="1"/>
        </xdr:cNvSpPr>
      </xdr:nvSpPr>
      <xdr:spPr bwMode="auto">
        <a:xfrm>
          <a:off x="409575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533400</xdr:colOff>
      <xdr:row>16</xdr:row>
      <xdr:rowOff>0</xdr:rowOff>
    </xdr:from>
    <xdr:to>
      <xdr:col>11</xdr:col>
      <xdr:colOff>533400</xdr:colOff>
      <xdr:row>16</xdr:row>
      <xdr:rowOff>0</xdr:rowOff>
    </xdr:to>
    <xdr:sp macro="" textlink="">
      <xdr:nvSpPr>
        <xdr:cNvPr id="197453" name="Line 45">
          <a:extLst>
            <a:ext uri="{FF2B5EF4-FFF2-40B4-BE49-F238E27FC236}">
              <a16:creationId xmlns:a16="http://schemas.microsoft.com/office/drawing/2014/main" id="{6BC52DCC-BFD7-F3CA-B1AF-3595F21A0007}"/>
            </a:ext>
          </a:extLst>
        </xdr:cNvPr>
        <xdr:cNvSpPr>
          <a:spLocks noChangeShapeType="1"/>
        </xdr:cNvSpPr>
      </xdr:nvSpPr>
      <xdr:spPr bwMode="auto">
        <a:xfrm>
          <a:off x="779145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38100</xdr:colOff>
      <xdr:row>16</xdr:row>
      <xdr:rowOff>0</xdr:rowOff>
    </xdr:from>
    <xdr:to>
      <xdr:col>15</xdr:col>
      <xdr:colOff>38100</xdr:colOff>
      <xdr:row>16</xdr:row>
      <xdr:rowOff>0</xdr:rowOff>
    </xdr:to>
    <xdr:sp macro="" textlink="">
      <xdr:nvSpPr>
        <xdr:cNvPr id="197454" name="Line 46">
          <a:extLst>
            <a:ext uri="{FF2B5EF4-FFF2-40B4-BE49-F238E27FC236}">
              <a16:creationId xmlns:a16="http://schemas.microsoft.com/office/drawing/2014/main" id="{A702709E-5300-98E7-D712-4745A631B946}"/>
            </a:ext>
          </a:extLst>
        </xdr:cNvPr>
        <xdr:cNvSpPr>
          <a:spLocks noChangeShapeType="1"/>
        </xdr:cNvSpPr>
      </xdr:nvSpPr>
      <xdr:spPr bwMode="auto">
        <a:xfrm>
          <a:off x="938212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609600</xdr:colOff>
      <xdr:row>16</xdr:row>
      <xdr:rowOff>0</xdr:rowOff>
    </xdr:from>
    <xdr:to>
      <xdr:col>20</xdr:col>
      <xdr:colOff>609600</xdr:colOff>
      <xdr:row>16</xdr:row>
      <xdr:rowOff>0</xdr:rowOff>
    </xdr:to>
    <xdr:sp macro="" textlink="">
      <xdr:nvSpPr>
        <xdr:cNvPr id="197455" name="Line 47">
          <a:extLst>
            <a:ext uri="{FF2B5EF4-FFF2-40B4-BE49-F238E27FC236}">
              <a16:creationId xmlns:a16="http://schemas.microsoft.com/office/drawing/2014/main" id="{D6F0537E-4288-610D-575D-05D1867BD12B}"/>
            </a:ext>
          </a:extLst>
        </xdr:cNvPr>
        <xdr:cNvSpPr>
          <a:spLocks noChangeShapeType="1"/>
        </xdr:cNvSpPr>
      </xdr:nvSpPr>
      <xdr:spPr bwMode="auto">
        <a:xfrm>
          <a:off x="1313497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533400</xdr:colOff>
      <xdr:row>16</xdr:row>
      <xdr:rowOff>0</xdr:rowOff>
    </xdr:from>
    <xdr:to>
      <xdr:col>23</xdr:col>
      <xdr:colOff>533400</xdr:colOff>
      <xdr:row>16</xdr:row>
      <xdr:rowOff>0</xdr:rowOff>
    </xdr:to>
    <xdr:sp macro="" textlink="">
      <xdr:nvSpPr>
        <xdr:cNvPr id="197456" name="Line 48">
          <a:extLst>
            <a:ext uri="{FF2B5EF4-FFF2-40B4-BE49-F238E27FC236}">
              <a16:creationId xmlns:a16="http://schemas.microsoft.com/office/drawing/2014/main" id="{B5D86DFF-B5C7-75CD-4159-EA9D5D865C84}"/>
            </a:ext>
          </a:extLst>
        </xdr:cNvPr>
        <xdr:cNvSpPr>
          <a:spLocks noChangeShapeType="1"/>
        </xdr:cNvSpPr>
      </xdr:nvSpPr>
      <xdr:spPr bwMode="auto">
        <a:xfrm>
          <a:off x="1479232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571500</xdr:colOff>
      <xdr:row>16</xdr:row>
      <xdr:rowOff>0</xdr:rowOff>
    </xdr:from>
    <xdr:to>
      <xdr:col>2</xdr:col>
      <xdr:colOff>571500</xdr:colOff>
      <xdr:row>16</xdr:row>
      <xdr:rowOff>0</xdr:rowOff>
    </xdr:to>
    <xdr:sp macro="" textlink="">
      <xdr:nvSpPr>
        <xdr:cNvPr id="197457" name="Line 53">
          <a:extLst>
            <a:ext uri="{FF2B5EF4-FFF2-40B4-BE49-F238E27FC236}">
              <a16:creationId xmlns:a16="http://schemas.microsoft.com/office/drawing/2014/main" id="{BBA511D5-9D15-218A-F722-B63E3710C19F}"/>
            </a:ext>
          </a:extLst>
        </xdr:cNvPr>
        <xdr:cNvSpPr>
          <a:spLocks noChangeShapeType="1"/>
        </xdr:cNvSpPr>
      </xdr:nvSpPr>
      <xdr:spPr bwMode="auto">
        <a:xfrm>
          <a:off x="1724025"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561975</xdr:colOff>
      <xdr:row>16</xdr:row>
      <xdr:rowOff>0</xdr:rowOff>
    </xdr:from>
    <xdr:to>
      <xdr:col>2</xdr:col>
      <xdr:colOff>561975</xdr:colOff>
      <xdr:row>16</xdr:row>
      <xdr:rowOff>0</xdr:rowOff>
    </xdr:to>
    <xdr:sp macro="" textlink="">
      <xdr:nvSpPr>
        <xdr:cNvPr id="197458" name="Line 54">
          <a:extLst>
            <a:ext uri="{FF2B5EF4-FFF2-40B4-BE49-F238E27FC236}">
              <a16:creationId xmlns:a16="http://schemas.microsoft.com/office/drawing/2014/main" id="{5A592BDC-2D87-4202-0C83-8DF463E15BFA}"/>
            </a:ext>
          </a:extLst>
        </xdr:cNvPr>
        <xdr:cNvSpPr>
          <a:spLocks noChangeShapeType="1"/>
        </xdr:cNvSpPr>
      </xdr:nvSpPr>
      <xdr:spPr bwMode="auto">
        <a:xfrm>
          <a:off x="1714500" y="3114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19</xdr:row>
      <xdr:rowOff>0</xdr:rowOff>
    </xdr:from>
    <xdr:to>
      <xdr:col>12</xdr:col>
      <xdr:colOff>571500</xdr:colOff>
      <xdr:row>19</xdr:row>
      <xdr:rowOff>0</xdr:rowOff>
    </xdr:to>
    <xdr:graphicFrame macro="">
      <xdr:nvGraphicFramePr>
        <xdr:cNvPr id="101483" name="Chart 1">
          <a:extLst>
            <a:ext uri="{FF2B5EF4-FFF2-40B4-BE49-F238E27FC236}">
              <a16:creationId xmlns:a16="http://schemas.microsoft.com/office/drawing/2014/main" id="{4356C0BF-C570-B399-0767-1AF88FBE0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C:/Documents%20and%20Settings/dtooley/Local%20Settings/Temporary%20Internet%20Files/OLK132/Langdon%20Company%20Questions.x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9492-AF1A-4F78-B56B-1ADCEAC86F9E}">
  <dimension ref="A1:U105"/>
  <sheetViews>
    <sheetView zoomScaleNormal="100" workbookViewId="0">
      <selection activeCell="L10" sqref="L10"/>
    </sheetView>
  </sheetViews>
  <sheetFormatPr baseColWidth="10" defaultColWidth="9.3984375" defaultRowHeight="13"/>
  <cols>
    <col min="1" max="1" width="3" style="45" customWidth="1"/>
    <col min="2" max="2" width="5.3984375" style="45" customWidth="1"/>
    <col min="3" max="16384" width="9.3984375" style="45"/>
  </cols>
  <sheetData>
    <row r="1" spans="1:18">
      <c r="A1" s="105" t="s">
        <v>0</v>
      </c>
    </row>
    <row r="3" spans="1:18" ht="66" customHeight="1">
      <c r="A3" s="749" t="s">
        <v>1</v>
      </c>
      <c r="B3" s="749"/>
      <c r="C3" s="749"/>
      <c r="D3" s="749"/>
      <c r="E3" s="749"/>
      <c r="F3" s="749"/>
      <c r="G3" s="749"/>
      <c r="H3" s="749"/>
      <c r="I3" s="749"/>
      <c r="J3" s="749"/>
      <c r="K3" s="749"/>
      <c r="L3" s="749"/>
      <c r="M3" s="749"/>
      <c r="N3" s="749"/>
      <c r="O3" s="749"/>
      <c r="P3" s="749"/>
      <c r="Q3" s="749"/>
      <c r="R3" s="749"/>
    </row>
    <row r="4" spans="1:18">
      <c r="A4" s="88"/>
      <c r="B4" s="88"/>
      <c r="C4" s="88"/>
      <c r="D4" s="88"/>
      <c r="E4" s="88"/>
      <c r="F4" s="88"/>
      <c r="G4" s="88"/>
      <c r="H4" s="88"/>
      <c r="I4" s="88"/>
      <c r="J4" s="88"/>
      <c r="K4" s="88"/>
      <c r="L4" s="88"/>
      <c r="M4" s="88"/>
      <c r="N4" s="88"/>
      <c r="O4" s="88"/>
      <c r="P4" s="88"/>
      <c r="Q4" s="88"/>
      <c r="R4" s="88"/>
    </row>
    <row r="5" spans="1:18" ht="19.5" customHeight="1">
      <c r="A5" s="751" t="s">
        <v>2</v>
      </c>
      <c r="B5" s="751"/>
      <c r="C5" s="751"/>
      <c r="D5" s="751"/>
      <c r="E5" s="751"/>
      <c r="F5" s="751"/>
      <c r="G5" s="751"/>
      <c r="H5" s="751"/>
      <c r="I5" s="751"/>
      <c r="J5" s="751"/>
      <c r="K5" s="751"/>
      <c r="L5" s="751"/>
      <c r="M5" s="751"/>
      <c r="N5" s="751"/>
      <c r="O5" s="751"/>
      <c r="P5" s="751"/>
      <c r="Q5" s="751"/>
      <c r="R5" s="751"/>
    </row>
    <row r="7" spans="1:18" ht="40.5" customHeight="1">
      <c r="A7" s="749" t="s">
        <v>3</v>
      </c>
      <c r="B7" s="749"/>
      <c r="C7" s="749"/>
      <c r="D7" s="749"/>
      <c r="E7" s="749"/>
      <c r="F7" s="749"/>
      <c r="G7" s="749"/>
      <c r="H7" s="749"/>
      <c r="I7" s="749"/>
      <c r="J7" s="749"/>
      <c r="K7" s="749"/>
      <c r="L7" s="749"/>
      <c r="M7" s="749"/>
      <c r="N7" s="749"/>
      <c r="O7" s="749"/>
      <c r="P7" s="749"/>
      <c r="Q7" s="749"/>
      <c r="R7" s="749"/>
    </row>
    <row r="9" spans="1:18">
      <c r="A9" s="45" t="s">
        <v>4</v>
      </c>
    </row>
    <row r="11" spans="1:18" ht="27" customHeight="1">
      <c r="A11" s="752" t="s">
        <v>5</v>
      </c>
      <c r="B11" s="752"/>
      <c r="C11" s="752"/>
      <c r="D11" s="752"/>
      <c r="E11" s="752"/>
      <c r="F11" s="752"/>
      <c r="G11" s="752"/>
      <c r="H11" s="752"/>
      <c r="I11" s="752"/>
      <c r="J11" s="752"/>
      <c r="K11" s="752"/>
      <c r="L11" s="752"/>
      <c r="M11" s="752"/>
      <c r="N11" s="752"/>
      <c r="O11" s="752"/>
      <c r="P11" s="752"/>
      <c r="Q11" s="752"/>
      <c r="R11" s="752"/>
    </row>
    <row r="13" spans="1:18">
      <c r="A13" s="45" t="s">
        <v>6</v>
      </c>
    </row>
    <row r="14" spans="1:18">
      <c r="A14" s="105"/>
      <c r="B14" s="45" t="s">
        <v>7</v>
      </c>
    </row>
    <row r="15" spans="1:18">
      <c r="A15" s="105"/>
    </row>
    <row r="16" spans="1:18">
      <c r="A16" s="45" t="s">
        <v>8</v>
      </c>
    </row>
    <row r="17" spans="1:20">
      <c r="A17" s="105"/>
      <c r="B17" s="45" t="s">
        <v>9</v>
      </c>
    </row>
    <row r="18" spans="1:20">
      <c r="A18" s="105"/>
    </row>
    <row r="19" spans="1:20">
      <c r="A19" s="45" t="s">
        <v>10</v>
      </c>
    </row>
    <row r="20" spans="1:20">
      <c r="B20" s="45" t="s">
        <v>11</v>
      </c>
    </row>
    <row r="21" spans="1:20">
      <c r="B21" s="749" t="s">
        <v>12</v>
      </c>
      <c r="C21" s="749"/>
      <c r="D21" s="749"/>
      <c r="E21" s="749"/>
      <c r="F21" s="749"/>
      <c r="G21" s="749"/>
      <c r="H21" s="749"/>
      <c r="I21" s="749"/>
      <c r="J21" s="749"/>
      <c r="K21" s="749"/>
      <c r="L21" s="749"/>
      <c r="M21" s="749"/>
      <c r="N21" s="749"/>
      <c r="O21" s="749"/>
      <c r="P21" s="749"/>
      <c r="Q21" s="749"/>
      <c r="R21" s="749"/>
      <c r="S21" s="749"/>
    </row>
    <row r="22" spans="1:20" ht="39.75" customHeight="1">
      <c r="B22" s="749" t="s">
        <v>13</v>
      </c>
      <c r="C22" s="749"/>
      <c r="D22" s="749"/>
      <c r="E22" s="749"/>
      <c r="F22" s="749"/>
      <c r="G22" s="749"/>
      <c r="H22" s="749"/>
      <c r="I22" s="749"/>
      <c r="J22" s="749"/>
      <c r="K22" s="749"/>
      <c r="L22" s="749"/>
      <c r="M22" s="749"/>
      <c r="N22" s="749"/>
      <c r="O22" s="749"/>
      <c r="P22" s="749"/>
      <c r="Q22" s="749"/>
      <c r="R22" s="749"/>
      <c r="S22" s="749"/>
    </row>
    <row r="23" spans="1:20">
      <c r="B23" s="45" t="s">
        <v>14</v>
      </c>
    </row>
    <row r="24" spans="1:20" ht="39.75" customHeight="1">
      <c r="C24" s="749" t="s">
        <v>15</v>
      </c>
      <c r="D24" s="749"/>
      <c r="E24" s="749"/>
      <c r="F24" s="749"/>
      <c r="G24" s="749"/>
      <c r="H24" s="749"/>
      <c r="I24" s="749"/>
      <c r="J24" s="749"/>
      <c r="K24" s="749"/>
      <c r="L24" s="749"/>
      <c r="M24" s="749"/>
      <c r="N24" s="749"/>
      <c r="O24" s="749"/>
      <c r="P24" s="749"/>
      <c r="Q24" s="749"/>
      <c r="R24" s="749"/>
      <c r="S24" s="749"/>
      <c r="T24" s="749"/>
    </row>
    <row r="25" spans="1:20">
      <c r="C25" s="45" t="s">
        <v>16</v>
      </c>
    </row>
    <row r="26" spans="1:20">
      <c r="C26" s="45" t="s">
        <v>17</v>
      </c>
    </row>
    <row r="27" spans="1:20">
      <c r="B27" s="45" t="s">
        <v>18</v>
      </c>
    </row>
    <row r="28" spans="1:20" ht="51" customHeight="1">
      <c r="C28" s="749" t="s">
        <v>19</v>
      </c>
      <c r="D28" s="750"/>
      <c r="E28" s="750"/>
      <c r="F28" s="750"/>
      <c r="G28" s="750"/>
      <c r="H28" s="750"/>
      <c r="I28" s="750"/>
      <c r="J28" s="750"/>
      <c r="K28" s="750"/>
      <c r="L28" s="750"/>
      <c r="M28" s="750"/>
      <c r="N28" s="750"/>
      <c r="O28" s="750"/>
      <c r="P28" s="750"/>
      <c r="Q28" s="750"/>
      <c r="R28" s="750"/>
      <c r="S28" s="750"/>
      <c r="T28" s="750"/>
    </row>
    <row r="29" spans="1:20" ht="66" customHeight="1">
      <c r="C29" s="749" t="s">
        <v>20</v>
      </c>
      <c r="D29" s="750"/>
      <c r="E29" s="750"/>
      <c r="F29" s="750"/>
      <c r="G29" s="750"/>
      <c r="H29" s="750"/>
      <c r="I29" s="750"/>
      <c r="J29" s="750"/>
      <c r="K29" s="750"/>
      <c r="L29" s="750"/>
      <c r="M29" s="750"/>
      <c r="N29" s="750"/>
      <c r="O29" s="750"/>
      <c r="P29" s="750"/>
      <c r="Q29" s="750"/>
      <c r="R29" s="750"/>
      <c r="S29" s="750"/>
      <c r="T29" s="750"/>
    </row>
    <row r="30" spans="1:20" ht="39" customHeight="1">
      <c r="C30" s="749" t="s">
        <v>21</v>
      </c>
      <c r="D30" s="750"/>
      <c r="E30" s="750"/>
      <c r="F30" s="750"/>
      <c r="G30" s="750"/>
      <c r="H30" s="750"/>
      <c r="I30" s="750"/>
      <c r="J30" s="750"/>
      <c r="K30" s="750"/>
      <c r="L30" s="750"/>
      <c r="M30" s="750"/>
      <c r="N30" s="750"/>
      <c r="O30" s="750"/>
      <c r="P30" s="750"/>
      <c r="Q30" s="750"/>
      <c r="R30" s="750"/>
      <c r="S30" s="750"/>
      <c r="T30" s="750"/>
    </row>
    <row r="31" spans="1:20" ht="50.25" customHeight="1">
      <c r="C31" s="749" t="s">
        <v>22</v>
      </c>
      <c r="D31" s="750"/>
      <c r="E31" s="750"/>
      <c r="F31" s="750"/>
      <c r="G31" s="750"/>
      <c r="H31" s="750"/>
      <c r="I31" s="750"/>
      <c r="J31" s="750"/>
      <c r="K31" s="750"/>
      <c r="L31" s="750"/>
      <c r="M31" s="750"/>
      <c r="N31" s="750"/>
      <c r="O31" s="750"/>
      <c r="P31" s="750"/>
      <c r="Q31" s="750"/>
      <c r="R31" s="750"/>
      <c r="S31" s="750"/>
      <c r="T31" s="750"/>
    </row>
    <row r="32" spans="1:20" ht="27.75" customHeight="1">
      <c r="C32" s="749" t="s">
        <v>23</v>
      </c>
      <c r="D32" s="750"/>
      <c r="E32" s="750"/>
      <c r="F32" s="750"/>
      <c r="G32" s="750"/>
      <c r="H32" s="750"/>
      <c r="I32" s="750"/>
      <c r="J32" s="750"/>
      <c r="K32" s="750"/>
      <c r="L32" s="750"/>
      <c r="M32" s="750"/>
      <c r="N32" s="750"/>
      <c r="O32" s="750"/>
      <c r="P32" s="750"/>
      <c r="Q32" s="750"/>
      <c r="R32" s="750"/>
      <c r="S32" s="750"/>
      <c r="T32" s="750"/>
    </row>
    <row r="33" spans="1:20" ht="17.25" customHeight="1">
      <c r="C33" s="749" t="s">
        <v>24</v>
      </c>
      <c r="D33" s="750"/>
      <c r="E33" s="750"/>
      <c r="F33" s="750"/>
      <c r="G33" s="750"/>
      <c r="H33" s="750"/>
      <c r="I33" s="750"/>
      <c r="J33" s="750"/>
      <c r="K33" s="750"/>
      <c r="L33" s="750"/>
      <c r="M33" s="750"/>
      <c r="N33" s="750"/>
      <c r="O33" s="750"/>
      <c r="P33" s="750"/>
      <c r="Q33" s="750"/>
      <c r="R33" s="750"/>
      <c r="S33" s="750"/>
      <c r="T33" s="750"/>
    </row>
    <row r="34" spans="1:20" ht="27" customHeight="1">
      <c r="C34" s="749" t="s">
        <v>25</v>
      </c>
      <c r="D34" s="750"/>
      <c r="E34" s="750"/>
      <c r="F34" s="750"/>
      <c r="G34" s="750"/>
      <c r="H34" s="750"/>
      <c r="I34" s="750"/>
      <c r="J34" s="750"/>
      <c r="K34" s="750"/>
      <c r="L34" s="750"/>
      <c r="M34" s="750"/>
      <c r="N34" s="750"/>
      <c r="O34" s="750"/>
      <c r="P34" s="750"/>
      <c r="Q34" s="750"/>
      <c r="R34" s="750"/>
      <c r="S34" s="750"/>
      <c r="T34" s="750"/>
    </row>
    <row r="35" spans="1:20">
      <c r="B35" s="45" t="s">
        <v>26</v>
      </c>
      <c r="C35" s="88"/>
      <c r="D35" s="748"/>
      <c r="E35" s="748"/>
      <c r="F35" s="748"/>
      <c r="G35" s="748"/>
      <c r="H35" s="748"/>
      <c r="I35" s="748"/>
      <c r="J35" s="748"/>
      <c r="K35" s="748"/>
      <c r="L35" s="748"/>
      <c r="M35" s="748"/>
      <c r="N35" s="748"/>
      <c r="O35" s="748"/>
      <c r="P35" s="748"/>
      <c r="Q35" s="748"/>
      <c r="R35" s="748"/>
      <c r="S35" s="748"/>
      <c r="T35" s="748"/>
    </row>
    <row r="36" spans="1:20" ht="27.75" customHeight="1">
      <c r="C36" s="749" t="s">
        <v>27</v>
      </c>
      <c r="D36" s="750"/>
      <c r="E36" s="750"/>
      <c r="F36" s="750"/>
      <c r="G36" s="750"/>
      <c r="H36" s="750"/>
      <c r="I36" s="750"/>
      <c r="J36" s="750"/>
      <c r="K36" s="750"/>
      <c r="L36" s="750"/>
      <c r="M36" s="750"/>
      <c r="N36" s="750"/>
      <c r="O36" s="750"/>
      <c r="P36" s="750"/>
      <c r="Q36" s="750"/>
      <c r="R36" s="750"/>
      <c r="S36" s="750"/>
      <c r="T36" s="750"/>
    </row>
    <row r="37" spans="1:20" ht="28.5" customHeight="1">
      <c r="C37" s="749" t="s">
        <v>28</v>
      </c>
      <c r="D37" s="750"/>
      <c r="E37" s="750"/>
      <c r="F37" s="750"/>
      <c r="G37" s="750"/>
      <c r="H37" s="750"/>
      <c r="I37" s="750"/>
      <c r="J37" s="750"/>
      <c r="K37" s="750"/>
      <c r="L37" s="750"/>
      <c r="M37" s="750"/>
      <c r="N37" s="750"/>
      <c r="O37" s="750"/>
      <c r="P37" s="750"/>
      <c r="Q37" s="750"/>
      <c r="R37" s="750"/>
      <c r="S37" s="750"/>
      <c r="T37" s="750"/>
    </row>
    <row r="38" spans="1:20">
      <c r="B38" s="45" t="s">
        <v>29</v>
      </c>
    </row>
    <row r="39" spans="1:20" ht="42" customHeight="1">
      <c r="C39" s="749" t="s">
        <v>30</v>
      </c>
      <c r="D39" s="750"/>
      <c r="E39" s="750"/>
      <c r="F39" s="750"/>
      <c r="G39" s="750"/>
      <c r="H39" s="750"/>
      <c r="I39" s="750"/>
      <c r="J39" s="750"/>
      <c r="K39" s="750"/>
      <c r="L39" s="750"/>
      <c r="M39" s="750"/>
      <c r="N39" s="750"/>
      <c r="O39" s="750"/>
      <c r="P39" s="750"/>
      <c r="Q39" s="750"/>
      <c r="R39" s="750"/>
      <c r="S39" s="750"/>
      <c r="T39" s="750"/>
    </row>
    <row r="40" spans="1:20" ht="15.75" customHeight="1">
      <c r="B40" s="749" t="s">
        <v>31</v>
      </c>
      <c r="C40" s="750"/>
      <c r="D40" s="750"/>
      <c r="E40" s="750"/>
      <c r="F40" s="750"/>
      <c r="G40" s="750"/>
      <c r="H40" s="750"/>
      <c r="I40" s="750"/>
      <c r="J40" s="750"/>
      <c r="K40" s="750"/>
      <c r="L40" s="750"/>
      <c r="M40" s="750"/>
      <c r="N40" s="750"/>
      <c r="O40" s="750"/>
      <c r="P40" s="750"/>
      <c r="Q40" s="750"/>
      <c r="R40" s="750"/>
      <c r="S40" s="750"/>
    </row>
    <row r="41" spans="1:20" ht="29.25" customHeight="1">
      <c r="B41" s="88"/>
      <c r="C41" s="749" t="s">
        <v>32</v>
      </c>
      <c r="D41" s="750"/>
      <c r="E41" s="750"/>
      <c r="F41" s="750"/>
      <c r="G41" s="750"/>
      <c r="H41" s="750"/>
      <c r="I41" s="750"/>
      <c r="J41" s="750"/>
      <c r="K41" s="750"/>
      <c r="L41" s="750"/>
      <c r="M41" s="750"/>
      <c r="N41" s="750"/>
      <c r="O41" s="750"/>
      <c r="P41" s="750"/>
      <c r="Q41" s="750"/>
      <c r="R41" s="750"/>
      <c r="S41" s="750"/>
      <c r="T41" s="750"/>
    </row>
    <row r="42" spans="1:20" ht="29.25" customHeight="1">
      <c r="A42" s="45" t="s">
        <v>33</v>
      </c>
      <c r="B42" s="88"/>
      <c r="C42" s="88"/>
      <c r="D42" s="748"/>
      <c r="E42" s="748"/>
      <c r="F42" s="748"/>
      <c r="G42" s="748"/>
      <c r="H42" s="748"/>
      <c r="I42" s="748"/>
      <c r="J42" s="748"/>
      <c r="K42" s="748"/>
      <c r="L42" s="748"/>
      <c r="M42" s="748"/>
      <c r="N42" s="748"/>
      <c r="O42" s="748"/>
      <c r="P42" s="748"/>
      <c r="Q42" s="748"/>
      <c r="R42" s="748"/>
      <c r="S42" s="748"/>
      <c r="T42" s="748"/>
    </row>
    <row r="43" spans="1:20">
      <c r="B43" s="45" t="s">
        <v>34</v>
      </c>
    </row>
    <row r="44" spans="1:20" ht="27" customHeight="1">
      <c r="C44" s="749" t="s">
        <v>35</v>
      </c>
      <c r="D44" s="750"/>
      <c r="E44" s="750"/>
      <c r="F44" s="750"/>
      <c r="G44" s="750"/>
      <c r="H44" s="750"/>
      <c r="I44" s="750"/>
      <c r="J44" s="750"/>
      <c r="K44" s="750"/>
      <c r="L44" s="750"/>
      <c r="M44" s="750"/>
      <c r="N44" s="750"/>
      <c r="O44" s="750"/>
      <c r="P44" s="750"/>
      <c r="Q44" s="750"/>
      <c r="R44" s="750"/>
      <c r="S44" s="750"/>
      <c r="T44" s="750"/>
    </row>
    <row r="45" spans="1:20" ht="27.75" customHeight="1">
      <c r="C45" s="749" t="s">
        <v>36</v>
      </c>
      <c r="D45" s="750"/>
      <c r="E45" s="750"/>
      <c r="F45" s="750"/>
      <c r="G45" s="750"/>
      <c r="H45" s="750"/>
      <c r="I45" s="750"/>
      <c r="J45" s="750"/>
      <c r="K45" s="750"/>
      <c r="L45" s="750"/>
      <c r="M45" s="750"/>
      <c r="N45" s="750"/>
      <c r="O45" s="750"/>
      <c r="P45" s="750"/>
      <c r="Q45" s="750"/>
      <c r="R45" s="750"/>
      <c r="S45" s="750"/>
      <c r="T45" s="750"/>
    </row>
    <row r="46" spans="1:20">
      <c r="B46" s="88"/>
      <c r="C46" s="748"/>
      <c r="D46" s="748"/>
      <c r="E46" s="748"/>
      <c r="F46" s="748"/>
      <c r="G46" s="748"/>
      <c r="H46" s="748"/>
      <c r="I46" s="748"/>
      <c r="J46" s="748"/>
      <c r="K46" s="748"/>
      <c r="L46" s="748"/>
      <c r="M46" s="748"/>
      <c r="N46" s="748"/>
      <c r="O46" s="748"/>
      <c r="P46" s="748"/>
      <c r="Q46" s="748"/>
      <c r="R46" s="748"/>
      <c r="S46" s="748"/>
    </row>
    <row r="47" spans="1:20">
      <c r="A47" s="45" t="s">
        <v>37</v>
      </c>
      <c r="B47" s="88"/>
      <c r="C47" s="748"/>
      <c r="D47" s="748"/>
      <c r="E47" s="748"/>
      <c r="F47" s="748"/>
      <c r="G47" s="748"/>
      <c r="H47" s="748"/>
      <c r="I47" s="748"/>
      <c r="J47" s="748"/>
      <c r="K47" s="748"/>
      <c r="L47" s="748"/>
      <c r="M47" s="748"/>
      <c r="N47" s="748"/>
      <c r="O47" s="748"/>
      <c r="P47" s="748"/>
      <c r="Q47" s="748"/>
      <c r="R47" s="748"/>
      <c r="S47" s="748"/>
    </row>
    <row r="48" spans="1:20">
      <c r="B48" s="45" t="s">
        <v>38</v>
      </c>
    </row>
    <row r="49" spans="1:20">
      <c r="C49" s="749" t="s">
        <v>39</v>
      </c>
      <c r="D49" s="750"/>
      <c r="E49" s="750"/>
      <c r="F49" s="750"/>
      <c r="G49" s="750"/>
      <c r="H49" s="750"/>
      <c r="I49" s="750"/>
      <c r="J49" s="750"/>
      <c r="K49" s="750"/>
      <c r="L49" s="750"/>
      <c r="M49" s="750"/>
      <c r="N49" s="750"/>
      <c r="O49" s="750"/>
      <c r="P49" s="750"/>
      <c r="Q49" s="750"/>
      <c r="R49" s="750"/>
      <c r="S49" s="750"/>
      <c r="T49" s="750"/>
    </row>
    <row r="50" spans="1:20">
      <c r="C50" s="88"/>
      <c r="D50" s="748"/>
      <c r="E50" s="748"/>
      <c r="F50" s="748"/>
      <c r="G50" s="748"/>
      <c r="H50" s="748"/>
      <c r="I50" s="748"/>
      <c r="J50" s="748"/>
      <c r="K50" s="748"/>
      <c r="L50" s="748"/>
      <c r="M50" s="748"/>
      <c r="N50" s="748"/>
      <c r="O50" s="748"/>
      <c r="P50" s="748"/>
      <c r="Q50" s="748"/>
      <c r="R50" s="748"/>
      <c r="S50" s="748"/>
      <c r="T50" s="748"/>
    </row>
    <row r="51" spans="1:20">
      <c r="A51" s="45" t="s">
        <v>40</v>
      </c>
      <c r="C51" s="88"/>
      <c r="D51" s="748"/>
      <c r="E51" s="748"/>
      <c r="F51" s="748"/>
      <c r="G51" s="748"/>
      <c r="H51" s="748"/>
      <c r="I51" s="748"/>
      <c r="J51" s="748"/>
      <c r="K51" s="748"/>
      <c r="L51" s="748"/>
      <c r="M51" s="748"/>
      <c r="N51" s="748"/>
      <c r="O51" s="748"/>
      <c r="P51" s="748"/>
      <c r="Q51" s="748"/>
      <c r="R51" s="748"/>
      <c r="S51" s="748"/>
      <c r="T51" s="748"/>
    </row>
    <row r="52" spans="1:20">
      <c r="B52" s="45" t="s">
        <v>41</v>
      </c>
    </row>
    <row r="53" spans="1:20" ht="26.25" customHeight="1">
      <c r="C53" s="749" t="s">
        <v>42</v>
      </c>
      <c r="D53" s="750"/>
      <c r="E53" s="750"/>
      <c r="F53" s="750"/>
      <c r="G53" s="750"/>
      <c r="H53" s="750"/>
      <c r="I53" s="750"/>
      <c r="J53" s="750"/>
      <c r="K53" s="750"/>
      <c r="L53" s="750"/>
      <c r="M53" s="750"/>
      <c r="N53" s="750"/>
      <c r="O53" s="750"/>
      <c r="P53" s="750"/>
      <c r="Q53" s="750"/>
      <c r="R53" s="750"/>
      <c r="S53" s="750"/>
      <c r="T53" s="750"/>
    </row>
    <row r="54" spans="1:20" ht="26.25" customHeight="1">
      <c r="C54" s="749" t="s">
        <v>43</v>
      </c>
      <c r="D54" s="750"/>
      <c r="E54" s="750"/>
      <c r="F54" s="750"/>
      <c r="G54" s="750"/>
      <c r="H54" s="750"/>
      <c r="I54" s="750"/>
      <c r="J54" s="750"/>
      <c r="K54" s="750"/>
      <c r="L54" s="750"/>
      <c r="M54" s="750"/>
      <c r="N54" s="750"/>
      <c r="O54" s="750"/>
      <c r="P54" s="750"/>
      <c r="Q54" s="750"/>
      <c r="R54" s="750"/>
      <c r="S54" s="750"/>
      <c r="T54" s="750"/>
    </row>
    <row r="55" spans="1:20">
      <c r="C55" s="88"/>
      <c r="D55" s="748"/>
      <c r="E55" s="748"/>
      <c r="F55" s="748"/>
      <c r="G55" s="748"/>
      <c r="H55" s="748"/>
      <c r="I55" s="748"/>
      <c r="J55" s="748"/>
      <c r="K55" s="748"/>
      <c r="L55" s="748"/>
      <c r="M55" s="748"/>
      <c r="N55" s="748"/>
      <c r="O55" s="748"/>
      <c r="P55" s="748"/>
      <c r="Q55" s="748"/>
      <c r="R55" s="748"/>
      <c r="S55" s="748"/>
      <c r="T55" s="748"/>
    </row>
    <row r="56" spans="1:20">
      <c r="A56" s="45" t="s">
        <v>44</v>
      </c>
      <c r="C56" s="88"/>
      <c r="D56" s="748"/>
      <c r="E56" s="748"/>
      <c r="F56" s="748"/>
      <c r="G56" s="748"/>
      <c r="H56" s="748"/>
      <c r="I56" s="748"/>
      <c r="J56" s="748"/>
      <c r="K56" s="748"/>
      <c r="L56" s="748"/>
      <c r="M56" s="748"/>
      <c r="N56" s="748"/>
      <c r="O56" s="748"/>
      <c r="P56" s="748"/>
      <c r="Q56" s="748"/>
      <c r="R56" s="748"/>
      <c r="S56" s="748"/>
      <c r="T56" s="748"/>
    </row>
    <row r="57" spans="1:20">
      <c r="B57" s="45" t="s">
        <v>45</v>
      </c>
    </row>
    <row r="58" spans="1:20">
      <c r="C58" s="749" t="s">
        <v>46</v>
      </c>
      <c r="D58" s="750"/>
      <c r="E58" s="750"/>
      <c r="F58" s="750"/>
      <c r="G58" s="750"/>
      <c r="H58" s="750"/>
      <c r="I58" s="750"/>
      <c r="J58" s="750"/>
      <c r="K58" s="750"/>
      <c r="L58" s="750"/>
      <c r="M58" s="750"/>
      <c r="N58" s="750"/>
      <c r="O58" s="750"/>
      <c r="P58" s="750"/>
      <c r="Q58" s="750"/>
      <c r="R58" s="750"/>
      <c r="S58" s="750"/>
      <c r="T58" s="750"/>
    </row>
    <row r="59" spans="1:20">
      <c r="C59" s="88"/>
      <c r="D59" s="748"/>
      <c r="E59" s="748"/>
      <c r="F59" s="748"/>
      <c r="G59" s="748"/>
      <c r="H59" s="748"/>
      <c r="I59" s="748"/>
      <c r="J59" s="748"/>
      <c r="K59" s="748"/>
      <c r="L59" s="748"/>
      <c r="M59" s="748"/>
      <c r="N59" s="748"/>
      <c r="O59" s="748"/>
      <c r="P59" s="748"/>
      <c r="Q59" s="748"/>
      <c r="R59" s="748"/>
      <c r="S59" s="748"/>
      <c r="T59" s="748"/>
    </row>
    <row r="60" spans="1:20">
      <c r="A60" s="45" t="s">
        <v>47</v>
      </c>
      <c r="C60" s="88"/>
      <c r="D60" s="748"/>
      <c r="E60" s="748"/>
      <c r="F60" s="748"/>
      <c r="G60" s="748"/>
      <c r="H60" s="748"/>
      <c r="I60" s="748"/>
      <c r="J60" s="748"/>
      <c r="K60" s="748"/>
      <c r="L60" s="748"/>
      <c r="M60" s="748"/>
      <c r="N60" s="748"/>
      <c r="O60" s="748"/>
      <c r="P60" s="748"/>
      <c r="Q60" s="748"/>
      <c r="R60" s="748"/>
      <c r="S60" s="748"/>
      <c r="T60" s="748"/>
    </row>
    <row r="61" spans="1:20">
      <c r="B61" s="45" t="s">
        <v>48</v>
      </c>
    </row>
    <row r="62" spans="1:20" ht="26.25" customHeight="1">
      <c r="C62" s="749" t="s">
        <v>49</v>
      </c>
      <c r="D62" s="750"/>
      <c r="E62" s="750"/>
      <c r="F62" s="750"/>
      <c r="G62" s="750"/>
      <c r="H62" s="750"/>
      <c r="I62" s="750"/>
      <c r="J62" s="750"/>
      <c r="K62" s="750"/>
      <c r="L62" s="750"/>
      <c r="M62" s="750"/>
      <c r="N62" s="750"/>
      <c r="O62" s="750"/>
      <c r="P62" s="750"/>
      <c r="Q62" s="750"/>
      <c r="R62" s="750"/>
      <c r="S62" s="750"/>
      <c r="T62" s="750"/>
    </row>
    <row r="63" spans="1:20">
      <c r="C63" s="88"/>
      <c r="D63" s="748"/>
      <c r="E63" s="748"/>
      <c r="F63" s="748"/>
      <c r="G63" s="748"/>
      <c r="H63" s="748"/>
      <c r="I63" s="748"/>
      <c r="J63" s="748"/>
      <c r="K63" s="748"/>
      <c r="L63" s="748"/>
      <c r="M63" s="748"/>
      <c r="N63" s="748"/>
      <c r="O63" s="748"/>
      <c r="P63" s="748"/>
      <c r="Q63" s="748"/>
      <c r="R63" s="748"/>
      <c r="S63" s="748"/>
      <c r="T63" s="748"/>
    </row>
    <row r="64" spans="1:20">
      <c r="A64" s="45" t="s">
        <v>50</v>
      </c>
      <c r="C64" s="88"/>
      <c r="D64" s="748"/>
      <c r="E64" s="748"/>
      <c r="F64" s="748"/>
      <c r="G64" s="748"/>
      <c r="H64" s="748"/>
      <c r="I64" s="748"/>
      <c r="J64" s="748"/>
      <c r="K64" s="748"/>
      <c r="L64" s="748"/>
      <c r="M64" s="748"/>
      <c r="N64" s="748"/>
      <c r="O64" s="748"/>
      <c r="P64" s="748"/>
      <c r="Q64" s="748"/>
      <c r="R64" s="748"/>
      <c r="S64" s="748"/>
      <c r="T64" s="748"/>
    </row>
    <row r="65" spans="1:20">
      <c r="B65" s="45" t="s">
        <v>51</v>
      </c>
    </row>
    <row r="66" spans="1:20">
      <c r="C66" s="749" t="s">
        <v>52</v>
      </c>
      <c r="D66" s="750"/>
      <c r="E66" s="750"/>
      <c r="F66" s="750"/>
      <c r="G66" s="750"/>
      <c r="H66" s="750"/>
      <c r="I66" s="750"/>
      <c r="J66" s="750"/>
      <c r="K66" s="750"/>
      <c r="L66" s="750"/>
      <c r="M66" s="750"/>
      <c r="N66" s="750"/>
      <c r="O66" s="750"/>
      <c r="P66" s="750"/>
      <c r="Q66" s="750"/>
      <c r="R66" s="750"/>
      <c r="S66" s="750"/>
      <c r="T66" s="750"/>
    </row>
    <row r="67" spans="1:20">
      <c r="C67" s="88"/>
      <c r="D67" s="748"/>
      <c r="E67" s="748"/>
      <c r="F67" s="748"/>
      <c r="G67" s="748"/>
      <c r="H67" s="748"/>
      <c r="I67" s="748"/>
      <c r="J67" s="748"/>
      <c r="K67" s="748"/>
      <c r="L67" s="748"/>
      <c r="M67" s="748"/>
      <c r="N67" s="748"/>
      <c r="O67" s="748"/>
      <c r="P67" s="748"/>
      <c r="Q67" s="748"/>
      <c r="R67" s="748"/>
      <c r="S67" s="748"/>
      <c r="T67" s="748"/>
    </row>
    <row r="68" spans="1:20">
      <c r="A68" s="45" t="s">
        <v>53</v>
      </c>
      <c r="C68" s="88"/>
      <c r="D68" s="748"/>
      <c r="E68" s="748"/>
      <c r="F68" s="748"/>
      <c r="G68" s="748"/>
      <c r="H68" s="748"/>
      <c r="I68" s="748"/>
      <c r="J68" s="748"/>
      <c r="K68" s="748"/>
      <c r="L68" s="748"/>
      <c r="M68" s="748"/>
      <c r="N68" s="748"/>
      <c r="O68" s="748"/>
      <c r="P68" s="748"/>
      <c r="Q68" s="748"/>
      <c r="R68" s="748"/>
      <c r="S68" s="748"/>
      <c r="T68" s="748"/>
    </row>
    <row r="69" spans="1:20">
      <c r="B69" s="45" t="s">
        <v>54</v>
      </c>
    </row>
    <row r="70" spans="1:20" ht="27" customHeight="1">
      <c r="C70" s="749" t="s">
        <v>55</v>
      </c>
      <c r="D70" s="750"/>
      <c r="E70" s="750"/>
      <c r="F70" s="750"/>
      <c r="G70" s="750"/>
      <c r="H70" s="750"/>
      <c r="I70" s="750"/>
      <c r="J70" s="750"/>
      <c r="K70" s="750"/>
      <c r="L70" s="750"/>
      <c r="M70" s="750"/>
      <c r="N70" s="750"/>
      <c r="O70" s="750"/>
      <c r="P70" s="750"/>
      <c r="Q70" s="750"/>
      <c r="R70" s="750"/>
      <c r="S70" s="750"/>
      <c r="T70" s="750"/>
    </row>
    <row r="71" spans="1:20" ht="26.25" customHeight="1">
      <c r="C71" s="749" t="s">
        <v>56</v>
      </c>
      <c r="D71" s="750"/>
      <c r="E71" s="750"/>
      <c r="F71" s="750"/>
      <c r="G71" s="750"/>
      <c r="H71" s="750"/>
      <c r="I71" s="750"/>
      <c r="J71" s="750"/>
      <c r="K71" s="750"/>
      <c r="L71" s="750"/>
      <c r="M71" s="750"/>
      <c r="N71" s="750"/>
      <c r="O71" s="750"/>
      <c r="P71" s="750"/>
      <c r="Q71" s="750"/>
      <c r="R71" s="750"/>
      <c r="S71" s="750"/>
      <c r="T71" s="750"/>
    </row>
    <row r="72" spans="1:20">
      <c r="C72" s="749" t="s">
        <v>57</v>
      </c>
      <c r="D72" s="750"/>
      <c r="E72" s="750"/>
      <c r="F72" s="750"/>
      <c r="G72" s="750"/>
      <c r="H72" s="750"/>
      <c r="I72" s="750"/>
      <c r="J72" s="750"/>
      <c r="K72" s="750"/>
      <c r="L72" s="750"/>
      <c r="M72" s="750"/>
      <c r="N72" s="750"/>
      <c r="O72" s="750"/>
      <c r="P72" s="750"/>
      <c r="Q72" s="750"/>
      <c r="R72" s="750"/>
      <c r="S72" s="750"/>
      <c r="T72" s="750"/>
    </row>
    <row r="73" spans="1:20">
      <c r="C73" s="88"/>
      <c r="D73" s="748"/>
      <c r="E73" s="748"/>
      <c r="F73" s="748"/>
      <c r="G73" s="748"/>
      <c r="H73" s="748"/>
      <c r="I73" s="748"/>
      <c r="J73" s="748"/>
      <c r="K73" s="748"/>
      <c r="L73" s="748"/>
      <c r="M73" s="748"/>
      <c r="N73" s="748"/>
      <c r="O73" s="748"/>
      <c r="P73" s="748"/>
      <c r="Q73" s="748"/>
      <c r="R73" s="748"/>
      <c r="S73" s="748"/>
      <c r="T73" s="748"/>
    </row>
    <row r="74" spans="1:20">
      <c r="A74" s="45" t="s">
        <v>58</v>
      </c>
      <c r="C74" s="88"/>
      <c r="D74" s="748"/>
      <c r="E74" s="748"/>
      <c r="F74" s="748"/>
      <c r="G74" s="748"/>
      <c r="H74" s="748"/>
      <c r="I74" s="748"/>
      <c r="J74" s="748"/>
      <c r="K74" s="748"/>
      <c r="L74" s="748"/>
      <c r="M74" s="748"/>
      <c r="N74" s="748"/>
      <c r="O74" s="748"/>
      <c r="P74" s="748"/>
      <c r="Q74" s="748"/>
      <c r="R74" s="748"/>
      <c r="S74" s="748"/>
      <c r="T74" s="748"/>
    </row>
    <row r="75" spans="1:20">
      <c r="B75" s="45" t="s">
        <v>59</v>
      </c>
    </row>
    <row r="76" spans="1:20">
      <c r="C76" s="749" t="s">
        <v>60</v>
      </c>
      <c r="D76" s="750"/>
      <c r="E76" s="750"/>
      <c r="F76" s="750"/>
      <c r="G76" s="750"/>
      <c r="H76" s="750"/>
      <c r="I76" s="750"/>
      <c r="J76" s="750"/>
      <c r="K76" s="750"/>
      <c r="L76" s="750"/>
      <c r="M76" s="750"/>
      <c r="N76" s="750"/>
      <c r="O76" s="750"/>
      <c r="P76" s="750"/>
      <c r="Q76" s="750"/>
      <c r="R76" s="750"/>
      <c r="S76" s="750"/>
      <c r="T76" s="750"/>
    </row>
    <row r="77" spans="1:20">
      <c r="C77" s="749" t="s">
        <v>61</v>
      </c>
      <c r="D77" s="750"/>
      <c r="E77" s="750"/>
      <c r="F77" s="750"/>
      <c r="G77" s="750"/>
      <c r="H77" s="750"/>
      <c r="I77" s="750"/>
      <c r="J77" s="750"/>
      <c r="K77" s="750"/>
      <c r="L77" s="750"/>
      <c r="M77" s="750"/>
      <c r="N77" s="750"/>
      <c r="O77" s="750"/>
      <c r="P77" s="750"/>
      <c r="Q77" s="750"/>
      <c r="R77" s="750"/>
      <c r="S77" s="750"/>
      <c r="T77" s="750"/>
    </row>
    <row r="78" spans="1:20">
      <c r="C78" s="749" t="s">
        <v>62</v>
      </c>
      <c r="D78" s="750"/>
      <c r="E78" s="750"/>
      <c r="F78" s="750"/>
      <c r="G78" s="750"/>
      <c r="H78" s="750"/>
      <c r="I78" s="750"/>
      <c r="J78" s="750"/>
      <c r="K78" s="750"/>
      <c r="L78" s="750"/>
      <c r="M78" s="750"/>
      <c r="N78" s="750"/>
      <c r="O78" s="750"/>
      <c r="P78" s="750"/>
      <c r="Q78" s="750"/>
      <c r="R78" s="750"/>
      <c r="S78" s="750"/>
      <c r="T78" s="750"/>
    </row>
    <row r="79" spans="1:20">
      <c r="C79" s="88"/>
      <c r="D79" s="748"/>
      <c r="E79" s="748"/>
      <c r="F79" s="748"/>
      <c r="G79" s="748"/>
      <c r="H79" s="748"/>
      <c r="I79" s="748"/>
      <c r="J79" s="748"/>
      <c r="K79" s="748"/>
      <c r="L79" s="748"/>
      <c r="M79" s="748"/>
      <c r="N79" s="748"/>
      <c r="O79" s="748"/>
      <c r="P79" s="748"/>
      <c r="Q79" s="748"/>
      <c r="R79" s="748"/>
      <c r="S79" s="748"/>
      <c r="T79" s="748"/>
    </row>
    <row r="80" spans="1:20">
      <c r="A80" s="45" t="s">
        <v>63</v>
      </c>
      <c r="C80" s="88"/>
      <c r="D80" s="748"/>
      <c r="E80" s="748"/>
      <c r="F80" s="748"/>
      <c r="G80" s="748"/>
      <c r="H80" s="748"/>
      <c r="I80" s="748"/>
      <c r="J80" s="748"/>
      <c r="K80" s="748"/>
      <c r="L80" s="748"/>
      <c r="M80" s="748"/>
      <c r="N80" s="748"/>
      <c r="O80" s="748"/>
      <c r="P80" s="748"/>
      <c r="Q80" s="748"/>
      <c r="R80" s="748"/>
      <c r="S80" s="748"/>
      <c r="T80" s="748"/>
    </row>
    <row r="81" spans="1:20">
      <c r="B81" s="45" t="s">
        <v>64</v>
      </c>
    </row>
    <row r="82" spans="1:20" ht="26.25" customHeight="1">
      <c r="C82" s="749" t="s">
        <v>65</v>
      </c>
      <c r="D82" s="750"/>
      <c r="E82" s="750"/>
      <c r="F82" s="750"/>
      <c r="G82" s="750"/>
      <c r="H82" s="750"/>
      <c r="I82" s="750"/>
      <c r="J82" s="750"/>
      <c r="K82" s="750"/>
      <c r="L82" s="750"/>
      <c r="M82" s="750"/>
      <c r="N82" s="750"/>
      <c r="O82" s="750"/>
      <c r="P82" s="750"/>
      <c r="Q82" s="750"/>
      <c r="R82" s="750"/>
      <c r="S82" s="750"/>
      <c r="T82" s="750"/>
    </row>
    <row r="83" spans="1:20" ht="25.5" customHeight="1">
      <c r="C83" s="749" t="s">
        <v>66</v>
      </c>
      <c r="D83" s="750"/>
      <c r="E83" s="750"/>
      <c r="F83" s="750"/>
      <c r="G83" s="750"/>
      <c r="H83" s="750"/>
      <c r="I83" s="750"/>
      <c r="J83" s="750"/>
      <c r="K83" s="750"/>
      <c r="L83" s="750"/>
      <c r="M83" s="750"/>
      <c r="N83" s="750"/>
      <c r="O83" s="750"/>
      <c r="P83" s="750"/>
      <c r="Q83" s="750"/>
      <c r="R83" s="750"/>
      <c r="S83" s="750"/>
      <c r="T83" s="750"/>
    </row>
    <row r="84" spans="1:20">
      <c r="C84" s="88"/>
      <c r="D84" s="748"/>
      <c r="E84" s="748"/>
      <c r="F84" s="748"/>
      <c r="G84" s="748"/>
      <c r="H84" s="748"/>
      <c r="I84" s="748"/>
      <c r="J84" s="748"/>
      <c r="K84" s="748"/>
      <c r="L84" s="748"/>
      <c r="M84" s="748"/>
      <c r="N84" s="748"/>
      <c r="O84" s="748"/>
      <c r="P84" s="748"/>
      <c r="Q84" s="748"/>
      <c r="R84" s="748"/>
      <c r="S84" s="748"/>
      <c r="T84" s="748"/>
    </row>
    <row r="85" spans="1:20">
      <c r="A85" s="45" t="s">
        <v>67</v>
      </c>
      <c r="C85" s="88"/>
      <c r="D85" s="748"/>
      <c r="E85" s="748"/>
      <c r="F85" s="748"/>
      <c r="G85" s="748"/>
      <c r="H85" s="748"/>
      <c r="I85" s="748"/>
      <c r="J85" s="748"/>
      <c r="K85" s="748"/>
      <c r="L85" s="748"/>
      <c r="M85" s="748"/>
      <c r="N85" s="748"/>
      <c r="O85" s="748"/>
      <c r="P85" s="748"/>
      <c r="Q85" s="748"/>
      <c r="R85" s="748"/>
      <c r="S85" s="748"/>
      <c r="T85" s="748"/>
    </row>
    <row r="86" spans="1:20">
      <c r="B86" s="45" t="s">
        <v>68</v>
      </c>
    </row>
    <row r="87" spans="1:20" ht="27" customHeight="1">
      <c r="C87" s="749" t="s">
        <v>69</v>
      </c>
      <c r="D87" s="750"/>
      <c r="E87" s="750"/>
      <c r="F87" s="750"/>
      <c r="G87" s="750"/>
      <c r="H87" s="750"/>
      <c r="I87" s="750"/>
      <c r="J87" s="750"/>
      <c r="K87" s="750"/>
      <c r="L87" s="750"/>
      <c r="M87" s="750"/>
      <c r="N87" s="750"/>
      <c r="O87" s="750"/>
      <c r="P87" s="750"/>
      <c r="Q87" s="750"/>
      <c r="R87" s="750"/>
      <c r="S87" s="750"/>
      <c r="T87" s="750"/>
    </row>
    <row r="88" spans="1:20">
      <c r="C88" s="749" t="s">
        <v>70</v>
      </c>
      <c r="D88" s="750"/>
      <c r="E88" s="750"/>
      <c r="F88" s="750"/>
      <c r="G88" s="750"/>
      <c r="H88" s="750"/>
      <c r="I88" s="750"/>
      <c r="J88" s="750"/>
      <c r="K88" s="750"/>
      <c r="L88" s="750"/>
      <c r="M88" s="750"/>
      <c r="N88" s="750"/>
      <c r="O88" s="750"/>
      <c r="P88" s="750"/>
      <c r="Q88" s="750"/>
      <c r="R88" s="750"/>
      <c r="S88" s="750"/>
      <c r="T88" s="750"/>
    </row>
    <row r="89" spans="1:20" ht="25.5" customHeight="1">
      <c r="C89" s="749" t="s">
        <v>71</v>
      </c>
      <c r="D89" s="750"/>
      <c r="E89" s="750"/>
      <c r="F89" s="750"/>
      <c r="G89" s="750"/>
      <c r="H89" s="750"/>
      <c r="I89" s="750"/>
      <c r="J89" s="750"/>
      <c r="K89" s="750"/>
      <c r="L89" s="750"/>
      <c r="M89" s="750"/>
      <c r="N89" s="750"/>
      <c r="O89" s="750"/>
      <c r="P89" s="750"/>
      <c r="Q89" s="750"/>
      <c r="R89" s="750"/>
      <c r="S89" s="750"/>
      <c r="T89" s="750"/>
    </row>
    <row r="90" spans="1:20">
      <c r="C90" s="749" t="s">
        <v>72</v>
      </c>
      <c r="D90" s="750"/>
      <c r="E90" s="750"/>
      <c r="F90" s="750"/>
      <c r="G90" s="750"/>
      <c r="H90" s="750"/>
      <c r="I90" s="750"/>
      <c r="J90" s="750"/>
      <c r="K90" s="750"/>
      <c r="L90" s="750"/>
      <c r="M90" s="750"/>
      <c r="N90" s="750"/>
      <c r="O90" s="750"/>
      <c r="P90" s="750"/>
      <c r="Q90" s="750"/>
      <c r="R90" s="750"/>
      <c r="S90" s="750"/>
      <c r="T90" s="750"/>
    </row>
    <row r="91" spans="1:20">
      <c r="C91" s="749" t="s">
        <v>73</v>
      </c>
      <c r="D91" s="750"/>
      <c r="E91" s="750"/>
      <c r="F91" s="750"/>
      <c r="G91" s="750"/>
      <c r="H91" s="750"/>
      <c r="I91" s="750"/>
      <c r="J91" s="750"/>
      <c r="K91" s="750"/>
      <c r="L91" s="750"/>
      <c r="M91" s="750"/>
      <c r="N91" s="750"/>
      <c r="O91" s="750"/>
      <c r="P91" s="750"/>
      <c r="Q91" s="750"/>
      <c r="R91" s="750"/>
      <c r="S91" s="750"/>
      <c r="T91" s="750"/>
    </row>
    <row r="92" spans="1:20">
      <c r="C92" s="749" t="s">
        <v>74</v>
      </c>
      <c r="D92" s="750"/>
      <c r="E92" s="750"/>
      <c r="F92" s="750"/>
      <c r="G92" s="750"/>
      <c r="H92" s="750"/>
      <c r="I92" s="750"/>
      <c r="J92" s="750"/>
      <c r="K92" s="750"/>
      <c r="L92" s="750"/>
      <c r="M92" s="750"/>
      <c r="N92" s="750"/>
      <c r="O92" s="750"/>
      <c r="P92" s="750"/>
      <c r="Q92" s="750"/>
      <c r="R92" s="750"/>
      <c r="S92" s="750"/>
      <c r="T92" s="750"/>
    </row>
    <row r="93" spans="1:20">
      <c r="C93" s="88"/>
      <c r="D93" s="748"/>
      <c r="E93" s="748"/>
      <c r="F93" s="748"/>
      <c r="G93" s="748"/>
      <c r="H93" s="748"/>
      <c r="I93" s="748"/>
      <c r="J93" s="748"/>
      <c r="K93" s="748"/>
      <c r="L93" s="748"/>
      <c r="M93" s="748"/>
      <c r="N93" s="748"/>
      <c r="O93" s="748"/>
      <c r="P93" s="748"/>
      <c r="Q93" s="748"/>
      <c r="R93" s="748"/>
      <c r="S93" s="748"/>
      <c r="T93" s="748"/>
    </row>
    <row r="94" spans="1:20">
      <c r="A94" s="45" t="s">
        <v>75</v>
      </c>
      <c r="C94" s="88"/>
      <c r="D94" s="748"/>
      <c r="E94" s="748"/>
      <c r="F94" s="748"/>
      <c r="G94" s="748"/>
      <c r="H94" s="748"/>
      <c r="I94" s="748"/>
      <c r="J94" s="748"/>
      <c r="K94" s="748"/>
      <c r="L94" s="748"/>
      <c r="M94" s="748"/>
      <c r="N94" s="748"/>
      <c r="O94" s="748"/>
      <c r="P94" s="748"/>
      <c r="Q94" s="748"/>
      <c r="R94" s="748"/>
      <c r="S94" s="748"/>
      <c r="T94" s="748"/>
    </row>
    <row r="95" spans="1:20">
      <c r="B95" s="45" t="s">
        <v>76</v>
      </c>
    </row>
    <row r="96" spans="1:20">
      <c r="C96" s="749" t="s">
        <v>77</v>
      </c>
      <c r="D96" s="750"/>
      <c r="E96" s="750"/>
      <c r="F96" s="750"/>
      <c r="G96" s="750"/>
      <c r="H96" s="750"/>
      <c r="I96" s="750"/>
      <c r="J96" s="750"/>
      <c r="K96" s="750"/>
      <c r="L96" s="750"/>
      <c r="M96" s="750"/>
      <c r="N96" s="750"/>
      <c r="O96" s="750"/>
      <c r="P96" s="750"/>
      <c r="Q96" s="750"/>
      <c r="R96" s="750"/>
      <c r="S96" s="750"/>
      <c r="T96" s="750"/>
    </row>
    <row r="97" spans="1:21">
      <c r="C97" s="749" t="s">
        <v>78</v>
      </c>
      <c r="D97" s="750"/>
      <c r="E97" s="750"/>
      <c r="F97" s="750"/>
      <c r="G97" s="750"/>
      <c r="H97" s="750"/>
      <c r="I97" s="750"/>
      <c r="J97" s="750"/>
      <c r="K97" s="750"/>
      <c r="L97" s="750"/>
      <c r="M97" s="750"/>
      <c r="N97" s="750"/>
      <c r="O97" s="750"/>
      <c r="P97" s="750"/>
      <c r="Q97" s="750"/>
      <c r="R97" s="750"/>
      <c r="S97" s="750"/>
      <c r="T97" s="750"/>
    </row>
    <row r="98" spans="1:21" ht="26.25" customHeight="1">
      <c r="D98" s="749" t="s">
        <v>79</v>
      </c>
      <c r="E98" s="749"/>
      <c r="F98" s="749"/>
      <c r="G98" s="749"/>
      <c r="H98" s="749"/>
      <c r="I98" s="749"/>
      <c r="J98" s="749"/>
      <c r="K98" s="749"/>
      <c r="L98" s="749"/>
      <c r="M98" s="749"/>
      <c r="N98" s="749"/>
      <c r="O98" s="749"/>
      <c r="P98" s="749"/>
      <c r="Q98" s="749"/>
      <c r="R98" s="749"/>
      <c r="S98" s="749"/>
      <c r="T98" s="749"/>
      <c r="U98" s="748"/>
    </row>
    <row r="99" spans="1:21">
      <c r="C99" s="749" t="s">
        <v>80</v>
      </c>
      <c r="D99" s="750"/>
      <c r="E99" s="750"/>
      <c r="F99" s="750"/>
      <c r="G99" s="750"/>
      <c r="H99" s="750"/>
      <c r="I99" s="750"/>
      <c r="J99" s="750"/>
      <c r="K99" s="750"/>
      <c r="L99" s="750"/>
      <c r="M99" s="750"/>
      <c r="N99" s="750"/>
      <c r="O99" s="750"/>
      <c r="P99" s="750"/>
      <c r="Q99" s="750"/>
      <c r="R99" s="750"/>
      <c r="S99" s="750"/>
      <c r="T99" s="750"/>
    </row>
    <row r="100" spans="1:21">
      <c r="C100" s="749" t="s">
        <v>81</v>
      </c>
      <c r="D100" s="750"/>
      <c r="E100" s="750"/>
      <c r="F100" s="750"/>
      <c r="G100" s="750"/>
      <c r="H100" s="750"/>
      <c r="I100" s="750"/>
      <c r="J100" s="750"/>
      <c r="K100" s="750"/>
      <c r="L100" s="750"/>
      <c r="M100" s="750"/>
      <c r="N100" s="750"/>
      <c r="O100" s="750"/>
      <c r="P100" s="750"/>
      <c r="Q100" s="750"/>
      <c r="R100" s="750"/>
      <c r="S100" s="750"/>
      <c r="T100" s="750"/>
    </row>
    <row r="101" spans="1:21" ht="26.25" customHeight="1">
      <c r="C101" s="749" t="s">
        <v>82</v>
      </c>
      <c r="D101" s="750"/>
      <c r="E101" s="750"/>
      <c r="F101" s="750"/>
      <c r="G101" s="750"/>
      <c r="H101" s="750"/>
      <c r="I101" s="750"/>
      <c r="J101" s="750"/>
      <c r="K101" s="750"/>
      <c r="L101" s="750"/>
      <c r="M101" s="750"/>
      <c r="N101" s="750"/>
      <c r="O101" s="750"/>
      <c r="P101" s="750"/>
      <c r="Q101" s="750"/>
      <c r="R101" s="750"/>
      <c r="S101" s="750"/>
      <c r="T101" s="750"/>
    </row>
    <row r="102" spans="1:21">
      <c r="C102" s="88"/>
      <c r="D102" s="748"/>
      <c r="E102" s="748"/>
      <c r="F102" s="748"/>
      <c r="G102" s="748"/>
      <c r="H102" s="748"/>
      <c r="I102" s="748"/>
      <c r="J102" s="748"/>
      <c r="K102" s="748"/>
      <c r="L102" s="748"/>
      <c r="M102" s="748"/>
      <c r="N102" s="748"/>
      <c r="O102" s="748"/>
      <c r="P102" s="748"/>
      <c r="Q102" s="748"/>
      <c r="R102" s="748"/>
      <c r="S102" s="748"/>
      <c r="T102" s="748"/>
    </row>
    <row r="103" spans="1:21">
      <c r="A103" s="45" t="s">
        <v>83</v>
      </c>
      <c r="C103" s="88"/>
      <c r="D103" s="748"/>
      <c r="E103" s="748"/>
      <c r="F103" s="748"/>
      <c r="G103" s="748"/>
      <c r="H103" s="748"/>
      <c r="I103" s="748"/>
      <c r="J103" s="748"/>
      <c r="K103" s="748"/>
      <c r="L103" s="748"/>
      <c r="M103" s="748"/>
      <c r="N103" s="748"/>
      <c r="O103" s="748"/>
      <c r="P103" s="748"/>
      <c r="Q103" s="748"/>
      <c r="R103" s="748"/>
      <c r="S103" s="748"/>
      <c r="T103" s="748"/>
    </row>
    <row r="104" spans="1:21">
      <c r="B104" s="45" t="s">
        <v>84</v>
      </c>
    </row>
    <row r="105" spans="1:21" ht="24.75" customHeight="1">
      <c r="C105" s="749" t="s">
        <v>85</v>
      </c>
      <c r="D105" s="750"/>
      <c r="E105" s="750"/>
      <c r="F105" s="750"/>
      <c r="G105" s="750"/>
      <c r="H105" s="750"/>
      <c r="I105" s="750"/>
      <c r="J105" s="750"/>
      <c r="K105" s="750"/>
      <c r="L105" s="750"/>
      <c r="M105" s="750"/>
      <c r="N105" s="750"/>
      <c r="O105" s="750"/>
      <c r="P105" s="750"/>
      <c r="Q105" s="750"/>
      <c r="R105" s="750"/>
      <c r="S105" s="750"/>
      <c r="T105" s="750"/>
    </row>
  </sheetData>
  <mergeCells count="48">
    <mergeCell ref="C66:T66"/>
    <mergeCell ref="C92:T92"/>
    <mergeCell ref="C96:T96"/>
    <mergeCell ref="C70:T70"/>
    <mergeCell ref="C71:T71"/>
    <mergeCell ref="C90:T90"/>
    <mergeCell ref="C76:T76"/>
    <mergeCell ref="C91:T91"/>
    <mergeCell ref="C72:T72"/>
    <mergeCell ref="C54:T54"/>
    <mergeCell ref="C62:T62"/>
    <mergeCell ref="C41:T41"/>
    <mergeCell ref="C44:T44"/>
    <mergeCell ref="C58:T58"/>
    <mergeCell ref="C45:T45"/>
    <mergeCell ref="C49:T49"/>
    <mergeCell ref="C53:T53"/>
    <mergeCell ref="C105:T105"/>
    <mergeCell ref="C99:T99"/>
    <mergeCell ref="C100:T100"/>
    <mergeCell ref="C101:T101"/>
    <mergeCell ref="D98:T98"/>
    <mergeCell ref="C97:T97"/>
    <mergeCell ref="A11:R11"/>
    <mergeCell ref="C31:T31"/>
    <mergeCell ref="B21:S21"/>
    <mergeCell ref="B22:S22"/>
    <mergeCell ref="C24:T24"/>
    <mergeCell ref="C34:T34"/>
    <mergeCell ref="C77:T77"/>
    <mergeCell ref="C78:T78"/>
    <mergeCell ref="C89:T89"/>
    <mergeCell ref="C82:T82"/>
    <mergeCell ref="C83:T83"/>
    <mergeCell ref="C87:T87"/>
    <mergeCell ref="C88:T88"/>
    <mergeCell ref="C36:T36"/>
    <mergeCell ref="C37:T37"/>
    <mergeCell ref="A7:R7"/>
    <mergeCell ref="C39:T39"/>
    <mergeCell ref="B40:S40"/>
    <mergeCell ref="A3:R3"/>
    <mergeCell ref="C28:T28"/>
    <mergeCell ref="C30:T30"/>
    <mergeCell ref="C29:T29"/>
    <mergeCell ref="C32:T32"/>
    <mergeCell ref="A5:R5"/>
    <mergeCell ref="C33:T33"/>
  </mergeCells>
  <phoneticPr fontId="32" type="noConversion"/>
  <hyperlinks>
    <hyperlink ref="A5" r:id="rId1" xr:uid="{142B63FA-E595-4CD4-B1DE-84A98991705A}"/>
  </hyperlinks>
  <pageMargins left="0" right="0" top="0" bottom="0" header="0" footer="0"/>
  <pageSetup scale="72" fitToHeight="2" orientation="landscape" r:id="rId2"/>
  <headerFooter alignWithMargins="0">
    <oddFooter>Page &amp;P of &amp;N</oddFooter>
  </headerFooter>
  <rowBreaks count="1" manualBreakCount="1">
    <brk id="34"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53AE-EF60-466E-88DF-58AC3E398E71}">
  <sheetPr>
    <pageSetUpPr fitToPage="1"/>
  </sheetPr>
  <dimension ref="B1:X87"/>
  <sheetViews>
    <sheetView showGridLines="0" zoomScale="85" zoomScaleNormal="85" zoomScaleSheetLayoutView="85" workbookViewId="0">
      <selection activeCell="F14" sqref="F14"/>
    </sheetView>
  </sheetViews>
  <sheetFormatPr baseColWidth="10" defaultColWidth="14.59765625" defaultRowHeight="13" outlineLevelCol="1"/>
  <cols>
    <col min="1" max="1" width="4.796875" style="443" customWidth="1"/>
    <col min="2" max="2" width="16.796875" style="443" customWidth="1"/>
    <col min="3" max="3" width="25.19921875" style="443" customWidth="1"/>
    <col min="4" max="4" width="16.3984375" style="443" customWidth="1"/>
    <col min="5" max="13" width="14.59765625" style="443" customWidth="1"/>
    <col min="14" max="14" width="3.796875" style="443" customWidth="1"/>
    <col min="15" max="19" width="14.59765625" style="443" customWidth="1" outlineLevel="1"/>
    <col min="20" max="16384" width="14.59765625" style="443"/>
  </cols>
  <sheetData>
    <row r="1" spans="2:16" ht="18">
      <c r="B1" s="665" t="s">
        <v>86</v>
      </c>
      <c r="C1" s="442"/>
      <c r="O1" s="444" t="s">
        <v>87</v>
      </c>
      <c r="P1" s="443" t="s">
        <v>88</v>
      </c>
    </row>
    <row r="2" spans="2:16">
      <c r="B2" s="445" t="s">
        <v>89</v>
      </c>
      <c r="C2" s="445"/>
      <c r="L2" s="443" t="s">
        <v>90</v>
      </c>
      <c r="M2" s="446">
        <f ca="1">TODAY()</f>
        <v>46083</v>
      </c>
      <c r="O2" s="447" t="s">
        <v>91</v>
      </c>
    </row>
    <row r="3" spans="2:16">
      <c r="B3" s="445"/>
      <c r="C3" s="445"/>
      <c r="L3" s="443" t="s">
        <v>92</v>
      </c>
      <c r="M3" s="448" t="e">
        <f ca="1">+_xll.BDP(P1,O4)/100</f>
        <v>#NAME?</v>
      </c>
      <c r="O3" s="447"/>
    </row>
    <row r="4" spans="2:16">
      <c r="B4" s="445" t="str">
        <f>"Public Company: "&amp;$O$5</f>
        <v xml:space="preserve">Public Company: </v>
      </c>
      <c r="C4" s="445"/>
      <c r="L4" s="443" t="s">
        <v>93</v>
      </c>
      <c r="M4" s="449" t="e">
        <f ca="1">_xll.BDP(O1,O4)/100</f>
        <v>#NAME?</v>
      </c>
      <c r="O4" s="447" t="s">
        <v>94</v>
      </c>
    </row>
    <row r="5" spans="2:16">
      <c r="B5" s="445" t="s">
        <v>95</v>
      </c>
      <c r="C5" s="445"/>
      <c r="L5" s="443" t="s">
        <v>96</v>
      </c>
      <c r="M5" s="449" t="e">
        <f ca="1">_xll.BDP(O2,O4)/100</f>
        <v>#NAME?</v>
      </c>
      <c r="N5" s="444"/>
      <c r="O5" s="450"/>
      <c r="P5" s="444"/>
    </row>
    <row r="6" spans="2:16" ht="6" customHeight="1">
      <c r="B6" s="451"/>
      <c r="C6" s="445"/>
      <c r="K6" s="452"/>
      <c r="M6" s="453"/>
      <c r="N6" s="444"/>
    </row>
    <row r="7" spans="2:16">
      <c r="B7" s="454"/>
      <c r="C7" s="455"/>
      <c r="D7" s="456" t="s">
        <v>97</v>
      </c>
      <c r="E7" s="456"/>
      <c r="F7" s="456"/>
      <c r="G7" s="456" t="s">
        <v>98</v>
      </c>
      <c r="H7" s="456"/>
      <c r="I7" s="456" t="s">
        <v>98</v>
      </c>
      <c r="J7" s="663" t="s">
        <v>99</v>
      </c>
      <c r="K7" s="664">
        <f>+L51</f>
        <v>0</v>
      </c>
      <c r="L7" s="744" t="str">
        <f>+TEXT(M29, "YY")&amp;" EBITDA"</f>
        <v>15 EBITDA</v>
      </c>
      <c r="M7" s="664">
        <f>+M51</f>
        <v>0</v>
      </c>
    </row>
    <row r="8" spans="2:16">
      <c r="B8" s="457" t="s">
        <v>100</v>
      </c>
      <c r="C8" s="458"/>
      <c r="D8" s="662">
        <v>42277</v>
      </c>
      <c r="E8" s="459" t="s">
        <v>101</v>
      </c>
      <c r="F8" s="459" t="s">
        <v>102</v>
      </c>
      <c r="G8" s="459" t="s">
        <v>103</v>
      </c>
      <c r="H8" s="459" t="s">
        <v>104</v>
      </c>
      <c r="I8" s="459" t="s">
        <v>105</v>
      </c>
      <c r="J8" s="460" t="s">
        <v>106</v>
      </c>
      <c r="K8" s="461" t="s">
        <v>98</v>
      </c>
      <c r="L8" s="460" t="s">
        <v>106</v>
      </c>
      <c r="M8" s="461" t="s">
        <v>98</v>
      </c>
    </row>
    <row r="9" spans="2:16">
      <c r="B9" s="462"/>
      <c r="C9" s="463"/>
      <c r="D9" s="464"/>
      <c r="E9" s="465"/>
      <c r="F9" s="466"/>
      <c r="G9" s="467"/>
      <c r="H9" s="468"/>
      <c r="I9" s="469"/>
      <c r="J9" s="470"/>
      <c r="L9" s="470"/>
      <c r="M9" s="471"/>
    </row>
    <row r="10" spans="2:16">
      <c r="B10" s="472" t="s">
        <v>107</v>
      </c>
      <c r="C10" s="473"/>
      <c r="D10" s="677"/>
      <c r="E10" s="474"/>
      <c r="F10" s="475"/>
      <c r="G10" s="476"/>
      <c r="H10" s="477" t="e">
        <f ca="1">+YIELD($M$2,F10,$M$3+E10/10000,G10,100,4)</f>
        <v>#NAME?</v>
      </c>
      <c r="I10" s="631">
        <f>IF(OR(G10=0,ISERR((D10*G10)/100)),D10,(D10*G10)/100)</f>
        <v>0</v>
      </c>
      <c r="J10" s="478"/>
      <c r="K10" s="479"/>
      <c r="L10" s="478"/>
      <c r="M10" s="479"/>
      <c r="P10" s="480"/>
    </row>
    <row r="11" spans="2:16">
      <c r="B11" s="472" t="s">
        <v>108</v>
      </c>
      <c r="C11" s="473"/>
      <c r="D11" s="677"/>
      <c r="E11" s="474"/>
      <c r="F11" s="475"/>
      <c r="G11" s="476"/>
      <c r="H11" s="477" t="e">
        <f ca="1">+YIELD($M$2,F11,$M$3+E11/10000,G11,100,4)</f>
        <v>#NAME?</v>
      </c>
      <c r="I11" s="631">
        <f>IF(OR(G11=0,ISERR((D11*G11)/100)),D11,(D11*G11)/100)</f>
        <v>0</v>
      </c>
      <c r="J11" s="478"/>
      <c r="K11" s="479"/>
      <c r="L11" s="478"/>
      <c r="M11" s="479"/>
      <c r="P11" s="480"/>
    </row>
    <row r="12" spans="2:16">
      <c r="B12" s="472" t="s">
        <v>109</v>
      </c>
      <c r="C12" s="473"/>
      <c r="D12" s="678"/>
      <c r="E12" s="474"/>
      <c r="F12" s="475"/>
      <c r="G12" s="476"/>
      <c r="H12" s="476"/>
      <c r="I12" s="684">
        <f>IF(OR(G12=0,ISERR((D12*G12)/100)),D12,(D12*G12)/100)</f>
        <v>0</v>
      </c>
      <c r="J12" s="478"/>
      <c r="K12" s="479"/>
      <c r="L12" s="478"/>
      <c r="M12" s="479"/>
      <c r="P12" s="480"/>
    </row>
    <row r="13" spans="2:16" s="489" customFormat="1">
      <c r="B13" s="481" t="s">
        <v>110</v>
      </c>
      <c r="C13" s="482"/>
      <c r="D13" s="632">
        <f>SUM(D10:D12)</f>
        <v>0</v>
      </c>
      <c r="E13" s="483"/>
      <c r="F13" s="484"/>
      <c r="G13" s="485"/>
      <c r="H13" s="486"/>
      <c r="I13" s="632">
        <f>SUM(I10:I12)</f>
        <v>0</v>
      </c>
      <c r="J13" s="487" t="e">
        <f>(+D13)/$K$7</f>
        <v>#DIV/0!</v>
      </c>
      <c r="K13" s="488" t="e">
        <f>+I13/$K$7</f>
        <v>#DIV/0!</v>
      </c>
      <c r="L13" s="487" t="e">
        <f>(+D13)/$M$7</f>
        <v>#DIV/0!</v>
      </c>
      <c r="M13" s="488" t="e">
        <f>+I13/$M$7</f>
        <v>#DIV/0!</v>
      </c>
    </row>
    <row r="14" spans="2:16">
      <c r="B14" s="462"/>
      <c r="C14" s="463"/>
      <c r="D14" s="632"/>
      <c r="E14" s="491"/>
      <c r="F14" s="492"/>
      <c r="G14" s="493"/>
      <c r="H14" s="494"/>
      <c r="I14" s="632"/>
      <c r="J14" s="470"/>
      <c r="K14" s="495"/>
      <c r="L14" s="470"/>
      <c r="M14" s="495"/>
    </row>
    <row r="15" spans="2:16">
      <c r="B15" s="496" t="s">
        <v>111</v>
      </c>
      <c r="C15" s="497"/>
      <c r="D15" s="679"/>
      <c r="E15" s="498"/>
      <c r="F15" s="499"/>
      <c r="G15" s="500"/>
      <c r="H15" s="501" t="e">
        <f ca="1">+YIELD($M$2,F15,E15,G15,100,2)</f>
        <v>#NUM!</v>
      </c>
      <c r="I15" s="685">
        <f>IF(OR(G15=0,ISERR((D15*G15)/100)),D15,(D15*G15)/100)</f>
        <v>0</v>
      </c>
      <c r="J15" s="502"/>
      <c r="K15" s="503"/>
      <c r="L15" s="502"/>
      <c r="M15" s="503"/>
      <c r="P15" s="480"/>
    </row>
    <row r="16" spans="2:16" s="489" customFormat="1">
      <c r="B16" s="504" t="s">
        <v>112</v>
      </c>
      <c r="C16" s="505"/>
      <c r="D16" s="680">
        <f>+SUM(D15)</f>
        <v>0</v>
      </c>
      <c r="E16" s="506"/>
      <c r="F16" s="507"/>
      <c r="G16" s="508"/>
      <c r="H16" s="509"/>
      <c r="I16" s="680">
        <f>SUM(I15)</f>
        <v>0</v>
      </c>
      <c r="J16" s="510" t="e">
        <f>+D18/K7</f>
        <v>#DIV/0!</v>
      </c>
      <c r="K16" s="511" t="e">
        <f>+(D13+I16)/K7</f>
        <v>#DIV/0!</v>
      </c>
      <c r="L16" s="510" t="e">
        <f>+D18/M7</f>
        <v>#DIV/0!</v>
      </c>
      <c r="M16" s="511" t="e">
        <f>+(D13+I16)/M7</f>
        <v>#DIV/0!</v>
      </c>
    </row>
    <row r="17" spans="2:22">
      <c r="B17" s="462"/>
      <c r="C17" s="463"/>
      <c r="D17" s="632"/>
      <c r="E17" s="490"/>
      <c r="F17" s="492"/>
      <c r="G17" s="493"/>
      <c r="H17" s="494"/>
      <c r="I17" s="632"/>
      <c r="J17" s="470"/>
      <c r="K17" s="495"/>
      <c r="L17" s="470"/>
      <c r="M17" s="495"/>
    </row>
    <row r="18" spans="2:22">
      <c r="B18" s="481" t="s">
        <v>113</v>
      </c>
      <c r="C18" s="482"/>
      <c r="D18" s="632">
        <f>+D16+D13</f>
        <v>0</v>
      </c>
      <c r="E18" s="512"/>
      <c r="F18" s="513"/>
      <c r="G18" s="514"/>
      <c r="H18" s="515"/>
      <c r="I18" s="632"/>
      <c r="J18" s="487" t="e">
        <f>(+D18)/$K$7</f>
        <v>#DIV/0!</v>
      </c>
      <c r="K18" s="488"/>
      <c r="L18" s="487" t="e">
        <f>(+D18)/$M$7</f>
        <v>#DIV/0!</v>
      </c>
      <c r="M18" s="488"/>
    </row>
    <row r="19" spans="2:22">
      <c r="B19" s="481" t="s">
        <v>114</v>
      </c>
      <c r="C19" s="482"/>
      <c r="D19" s="632">
        <f>+D18-D22</f>
        <v>0</v>
      </c>
      <c r="E19" s="516"/>
      <c r="F19" s="517"/>
      <c r="G19" s="518"/>
      <c r="H19" s="519"/>
      <c r="I19" s="632"/>
      <c r="J19" s="487" t="e">
        <f>(+D19)/$K$7</f>
        <v>#DIV/0!</v>
      </c>
      <c r="K19" s="488"/>
      <c r="L19" s="487" t="e">
        <f>(+D19)/$M$7</f>
        <v>#DIV/0!</v>
      </c>
      <c r="M19" s="488"/>
    </row>
    <row r="20" spans="2:22" ht="6" customHeight="1">
      <c r="B20" s="520"/>
      <c r="C20" s="521"/>
      <c r="D20" s="681"/>
      <c r="E20" s="523"/>
      <c r="F20" s="524"/>
      <c r="G20" s="525"/>
      <c r="H20" s="526"/>
      <c r="I20" s="522"/>
      <c r="J20" s="527"/>
      <c r="K20" s="528"/>
      <c r="L20" s="527"/>
      <c r="M20" s="528"/>
    </row>
    <row r="21" spans="2:22" ht="15" customHeight="1">
      <c r="B21" s="529" t="str">
        <f>"Liquidity ("&amp;TEXT(D8,"mm/dd/yy)")</f>
        <v>Liquidity (09/30/15)</v>
      </c>
      <c r="C21" s="530"/>
      <c r="D21" s="682"/>
      <c r="F21" s="531" t="s">
        <v>115</v>
      </c>
      <c r="G21" s="532"/>
      <c r="H21" s="533"/>
      <c r="I21" s="534" t="s">
        <v>116</v>
      </c>
      <c r="J21" s="535"/>
      <c r="K21" s="456"/>
      <c r="L21" s="536" t="s">
        <v>117</v>
      </c>
      <c r="M21" s="533"/>
      <c r="U21" s="444"/>
    </row>
    <row r="22" spans="2:22" ht="13.5" customHeight="1">
      <c r="B22" s="537" t="s">
        <v>118</v>
      </c>
      <c r="C22" s="538"/>
      <c r="D22" s="630">
        <f>+H76</f>
        <v>0</v>
      </c>
      <c r="F22" s="745">
        <v>2014</v>
      </c>
      <c r="G22" s="539"/>
      <c r="H22" s="471"/>
      <c r="I22" s="538" t="s">
        <v>119</v>
      </c>
      <c r="J22" s="489"/>
      <c r="K22" s="540"/>
      <c r="L22" s="541"/>
      <c r="M22" s="479"/>
      <c r="U22" s="444"/>
      <c r="V22" s="444"/>
    </row>
    <row r="23" spans="2:22" ht="13.5" customHeight="1">
      <c r="B23" s="537" t="s">
        <v>120</v>
      </c>
      <c r="C23" s="538"/>
      <c r="D23" s="630"/>
      <c r="F23" s="444">
        <f>+F22+1</f>
        <v>2015</v>
      </c>
      <c r="G23" s="542"/>
      <c r="H23" s="471"/>
      <c r="I23" s="543" t="s">
        <v>121</v>
      </c>
      <c r="J23" s="452"/>
      <c r="K23" s="628" t="e">
        <f ca="1">+_xll.BDP($O5&amp;" Equity",O$4)</f>
        <v>#NAME?</v>
      </c>
      <c r="L23" s="541" t="s">
        <v>122</v>
      </c>
      <c r="M23" s="479" t="e">
        <f ca="1">+$K$26/L51</f>
        <v>#NAME?</v>
      </c>
      <c r="U23" s="444"/>
      <c r="V23" s="444"/>
    </row>
    <row r="24" spans="2:22" ht="14.25" customHeight="1">
      <c r="B24" s="537" t="s">
        <v>123</v>
      </c>
      <c r="C24" s="538"/>
      <c r="D24" s="630">
        <f>+D10</f>
        <v>0</v>
      </c>
      <c r="F24" s="444">
        <f>+F23+1</f>
        <v>2016</v>
      </c>
      <c r="G24" s="542"/>
      <c r="H24" s="471"/>
      <c r="I24" s="482" t="s">
        <v>124</v>
      </c>
      <c r="J24" s="489"/>
      <c r="K24" s="544" t="e">
        <f ca="1">+K23*K22</f>
        <v>#NAME?</v>
      </c>
      <c r="L24" s="541" t="s">
        <v>125</v>
      </c>
      <c r="M24" s="479" t="e">
        <f ca="1">+K26/K51</f>
        <v>#NAME?</v>
      </c>
      <c r="U24" s="444"/>
      <c r="V24" s="444"/>
    </row>
    <row r="25" spans="2:22" ht="14.25" customHeight="1">
      <c r="B25" s="537" t="s">
        <v>126</v>
      </c>
      <c r="C25" s="538"/>
      <c r="D25" s="683">
        <v>0</v>
      </c>
      <c r="F25" s="444">
        <f>+F24+1</f>
        <v>2017</v>
      </c>
      <c r="G25" s="542"/>
      <c r="H25" s="471"/>
      <c r="I25" s="543" t="s">
        <v>127</v>
      </c>
      <c r="J25" s="452"/>
      <c r="K25" s="545">
        <f>+D19</f>
        <v>0</v>
      </c>
      <c r="L25" s="546" t="s">
        <v>128</v>
      </c>
      <c r="M25" s="479" t="e">
        <f ca="1">+(K24+M79)/M51</f>
        <v>#NAME?</v>
      </c>
      <c r="U25" s="444"/>
      <c r="V25" s="444"/>
    </row>
    <row r="26" spans="2:22" ht="14.25" customHeight="1">
      <c r="B26" s="547" t="s">
        <v>129</v>
      </c>
      <c r="C26" s="548"/>
      <c r="D26" s="632">
        <f>SUM(D22:D25)</f>
        <v>0</v>
      </c>
      <c r="F26" s="444" t="s">
        <v>130</v>
      </c>
      <c r="G26" s="542"/>
      <c r="H26" s="471"/>
      <c r="I26" s="482" t="s">
        <v>131</v>
      </c>
      <c r="J26" s="489"/>
      <c r="K26" s="544" t="e">
        <f ca="1">SUM(K24:K25)</f>
        <v>#NAME?</v>
      </c>
      <c r="L26" s="549"/>
      <c r="M26" s="471"/>
      <c r="U26" s="444"/>
      <c r="V26" s="444"/>
    </row>
    <row r="27" spans="2:22" ht="6" customHeight="1">
      <c r="B27" s="546"/>
      <c r="C27" s="550"/>
      <c r="D27" s="551"/>
      <c r="E27" s="444"/>
      <c r="F27" s="552"/>
      <c r="H27" s="553"/>
      <c r="I27" s="538"/>
      <c r="K27" s="554"/>
      <c r="L27" s="555"/>
      <c r="M27" s="553"/>
    </row>
    <row r="28" spans="2:22" ht="13.5" customHeight="1">
      <c r="B28" s="556" t="s">
        <v>132</v>
      </c>
      <c r="C28" s="557"/>
      <c r="D28" s="686">
        <v>3</v>
      </c>
      <c r="E28" s="687">
        <f>+IF(D28=4,1,D28+1)</f>
        <v>4</v>
      </c>
      <c r="F28" s="687">
        <f>+IF(E28=4,1,E28+1)</f>
        <v>1</v>
      </c>
      <c r="G28" s="687">
        <f>+IF(F28=4,1,F28+1)</f>
        <v>2</v>
      </c>
      <c r="H28" s="687">
        <f>+IF(G28=4,1,G28+1)</f>
        <v>3</v>
      </c>
      <c r="I28" s="688" t="s">
        <v>133</v>
      </c>
      <c r="J28" s="689" t="s">
        <v>133</v>
      </c>
      <c r="K28" s="689" t="s">
        <v>133</v>
      </c>
      <c r="L28" s="689" t="s">
        <v>122</v>
      </c>
      <c r="M28" s="690" t="s">
        <v>134</v>
      </c>
      <c r="N28" s="558"/>
    </row>
    <row r="29" spans="2:22">
      <c r="B29" s="549"/>
      <c r="D29" s="691">
        <f>EOMONTH(E29,-3)</f>
        <v>41912</v>
      </c>
      <c r="E29" s="691">
        <f>EOMONTH(F29,-3)</f>
        <v>42004</v>
      </c>
      <c r="F29" s="691">
        <f>EOMONTH(G29,-3)</f>
        <v>42094</v>
      </c>
      <c r="G29" s="691">
        <f>EOMONTH(H29,-3)</f>
        <v>42185</v>
      </c>
      <c r="H29" s="692">
        <f>+D8</f>
        <v>42277</v>
      </c>
      <c r="I29" s="693">
        <v>41274</v>
      </c>
      <c r="J29" s="691">
        <f>+EOMONTH(I29,12)</f>
        <v>41639</v>
      </c>
      <c r="K29" s="691">
        <f>+EOMONTH(J29,12)</f>
        <v>42004</v>
      </c>
      <c r="L29" s="694">
        <f>+H29</f>
        <v>42277</v>
      </c>
      <c r="M29" s="695">
        <f>+EOMONTH(K29,12)</f>
        <v>42369</v>
      </c>
      <c r="N29" s="558"/>
    </row>
    <row r="30" spans="2:22">
      <c r="B30" s="559"/>
      <c r="C30" s="489"/>
      <c r="D30" s="696" t="str">
        <f>(TEXT(D29,"yy "))&amp;"Q"&amp;D28</f>
        <v>14 Q3</v>
      </c>
      <c r="E30" s="696" t="str">
        <f>(TEXT(E29,"yy "))&amp;"Q"&amp;E28</f>
        <v>14 Q4</v>
      </c>
      <c r="F30" s="696" t="str">
        <f>(TEXT(F29,"yy "))&amp;"Q"&amp;F28</f>
        <v>15 Q1</v>
      </c>
      <c r="G30" s="696" t="str">
        <f>(TEXT(G29,"yy "))&amp;"Q"&amp;G28</f>
        <v>15 Q2</v>
      </c>
      <c r="H30" s="697" t="str">
        <f>(TEXT(H29,"yy "))&amp;"Q"&amp;H28</f>
        <v>15 Q3</v>
      </c>
      <c r="I30" s="696">
        <f>+I29</f>
        <v>41274</v>
      </c>
      <c r="J30" s="696">
        <f>+J29</f>
        <v>41639</v>
      </c>
      <c r="K30" s="696">
        <f>+K29</f>
        <v>42004</v>
      </c>
      <c r="L30" s="696">
        <f>+L29</f>
        <v>42277</v>
      </c>
      <c r="M30" s="697">
        <f>+M29</f>
        <v>42369</v>
      </c>
      <c r="N30" s="558"/>
    </row>
    <row r="31" spans="2:22">
      <c r="B31" s="629" t="str">
        <f>+Model!B44</f>
        <v>Segment 1</v>
      </c>
      <c r="D31" s="720">
        <f>+HLOOKUP(D$30,Model!$E$7:$BW$223,Model!$A44)/1000</f>
        <v>0</v>
      </c>
      <c r="E31" s="720">
        <f>+HLOOKUP(E$30,Model!$E$7:$BW$223,Model!$A44)/1000</f>
        <v>0</v>
      </c>
      <c r="F31" s="720">
        <f>+HLOOKUP(F$30,Model!$E$7:$BW$223,Model!$A44)/1000</f>
        <v>0</v>
      </c>
      <c r="G31" s="720">
        <f>+HLOOKUP(G$30,Model!$E$7:$BW$223,Model!$A44)/1000</f>
        <v>0</v>
      </c>
      <c r="H31" s="721">
        <f>+HLOOKUP(H$30,Model!$E$7:$BW$223,Model!$A44)/1000</f>
        <v>0</v>
      </c>
      <c r="I31" s="720">
        <f>+HLOOKUP(I$30,Model!$E$7:$BW$223,Model!$A44)/1000</f>
        <v>0</v>
      </c>
      <c r="J31" s="720">
        <f>+HLOOKUP(J$30,Model!$E$7:$BW$223,Model!$A44)/1000</f>
        <v>0</v>
      </c>
      <c r="K31" s="720">
        <f>+HLOOKUP(K$30,Model!$E$7:$BW$223,Model!$A44)/1000</f>
        <v>0</v>
      </c>
      <c r="L31" s="720">
        <f>+SUM(E31:H31)</f>
        <v>0</v>
      </c>
      <c r="M31" s="721">
        <f>+HLOOKUP(M$30,Model!$E$7:$BW$223,Model!$A44)/1000</f>
        <v>0</v>
      </c>
    </row>
    <row r="32" spans="2:22" s="561" customFormat="1">
      <c r="B32" s="560" t="s">
        <v>135</v>
      </c>
      <c r="D32" s="704" t="e">
        <f>+HLOOKUP(D$30,Model!$E$7:$BW$223,Model!$A45)</f>
        <v>#DIV/0!</v>
      </c>
      <c r="E32" s="704" t="e">
        <f>+HLOOKUP(E$30,Model!$E$7:$BW$223,Model!$A45)</f>
        <v>#DIV/0!</v>
      </c>
      <c r="F32" s="704" t="e">
        <f>+HLOOKUP(F$30,Model!$E$7:$BW$223,Model!$A45)</f>
        <v>#DIV/0!</v>
      </c>
      <c r="G32" s="704" t="e">
        <f>+HLOOKUP(G$30,Model!$E$7:$BW$223,Model!$A45)</f>
        <v>#DIV/0!</v>
      </c>
      <c r="H32" s="705" t="e">
        <f>+HLOOKUP(H$30,Model!$E$7:$BW$223,Model!$A45)</f>
        <v>#DIV/0!</v>
      </c>
      <c r="I32" s="704" t="e">
        <f>+HLOOKUP(I$30,Model!$E$7:$BW$223,Model!$A45)</f>
        <v>#DIV/0!</v>
      </c>
      <c r="J32" s="704" t="e">
        <f>+HLOOKUP(J$30,Model!$E$7:$BW$223,Model!$A45)</f>
        <v>#DIV/0!</v>
      </c>
      <c r="K32" s="704" t="e">
        <f>+HLOOKUP(K$30,Model!$E$7:$BW$223,Model!$A45)</f>
        <v>#DIV/0!</v>
      </c>
      <c r="L32" s="704"/>
      <c r="M32" s="705" t="e">
        <f>+HLOOKUP(M$30,Model!$E$7:$BW$223,Model!$A45)</f>
        <v>#DIV/0!</v>
      </c>
    </row>
    <row r="33" spans="2:24">
      <c r="B33" s="629" t="str">
        <f>+Model!B47</f>
        <v>Segment 2</v>
      </c>
      <c r="C33" s="562"/>
      <c r="D33" s="720">
        <f>+HLOOKUP(D$30,Model!$E$7:$BW$223,Model!$A47)/1000</f>
        <v>0</v>
      </c>
      <c r="E33" s="720">
        <f>+HLOOKUP(E$30,Model!$E$7:$BW$223,Model!$A47)/1000</f>
        <v>0</v>
      </c>
      <c r="F33" s="720">
        <f>+HLOOKUP(F$30,Model!$E$7:$BW$223,Model!$A47)/1000</f>
        <v>0</v>
      </c>
      <c r="G33" s="720">
        <f>+HLOOKUP(G$30,Model!$E$7:$BW$223,Model!$A47)/1000</f>
        <v>0</v>
      </c>
      <c r="H33" s="721">
        <f>+HLOOKUP(H$30,Model!$E$7:$BW$223,Model!$A47)/1000</f>
        <v>0</v>
      </c>
      <c r="I33" s="720">
        <f>+HLOOKUP(I$30,Model!$E$7:$BW$223,Model!$A47)/1000</f>
        <v>0</v>
      </c>
      <c r="J33" s="720">
        <f>+HLOOKUP(J$30,Model!$E$7:$BW$223,Model!$A47)/1000</f>
        <v>0</v>
      </c>
      <c r="K33" s="720">
        <f>+HLOOKUP(K$30,Model!$E$7:$BW$223,Model!$A47)/1000</f>
        <v>0</v>
      </c>
      <c r="L33" s="720">
        <f>+SUM(E33:H33)</f>
        <v>0</v>
      </c>
      <c r="M33" s="721">
        <f>+HLOOKUP(M$30,Model!$E$7:$BW$223,Model!$A47)/1000</f>
        <v>0</v>
      </c>
    </row>
    <row r="34" spans="2:24" s="564" customFormat="1">
      <c r="B34" s="560" t="s">
        <v>135</v>
      </c>
      <c r="C34" s="563"/>
      <c r="D34" s="704" t="e">
        <f>+HLOOKUP(D$30,Model!$E$7:$BW$223,Model!$A48)</f>
        <v>#DIV/0!</v>
      </c>
      <c r="E34" s="704" t="e">
        <f>+HLOOKUP(E$30,Model!$E$7:$BW$223,Model!$A48)</f>
        <v>#DIV/0!</v>
      </c>
      <c r="F34" s="704" t="e">
        <f>+HLOOKUP(F$30,Model!$E$7:$BW$223,Model!$A48)</f>
        <v>#DIV/0!</v>
      </c>
      <c r="G34" s="704" t="e">
        <f>+HLOOKUP(G$30,Model!$E$7:$BW$223,Model!$A48)</f>
        <v>#DIV/0!</v>
      </c>
      <c r="H34" s="705" t="e">
        <f>+HLOOKUP(H$30,Model!$E$7:$BW$223,Model!$A48)</f>
        <v>#DIV/0!</v>
      </c>
      <c r="I34" s="704" t="e">
        <f>+HLOOKUP(I$30,Model!$E$7:$BW$223,Model!$A48)</f>
        <v>#DIV/0!</v>
      </c>
      <c r="J34" s="704" t="e">
        <f>+HLOOKUP(J$30,Model!$E$7:$BW$223,Model!$A48)</f>
        <v>#DIV/0!</v>
      </c>
      <c r="K34" s="704" t="e">
        <f>+HLOOKUP(K$30,Model!$E$7:$BW$223,Model!$A48)</f>
        <v>#DIV/0!</v>
      </c>
      <c r="L34" s="704"/>
      <c r="M34" s="705" t="e">
        <f>+HLOOKUP(M$30,Model!$E$7:$BW$223,Model!$A48)</f>
        <v>#DIV/0!</v>
      </c>
      <c r="U34" s="443"/>
      <c r="V34" s="443"/>
      <c r="W34" s="443"/>
      <c r="X34" s="443"/>
    </row>
    <row r="35" spans="2:24">
      <c r="B35" s="537" t="str">
        <f>+Model!B50</f>
        <v>Segment 3</v>
      </c>
      <c r="C35" s="562"/>
      <c r="D35" s="720">
        <f>+HLOOKUP(D$30,Model!$E$7:$BW$223,Model!$A50)/1000</f>
        <v>0</v>
      </c>
      <c r="E35" s="720">
        <f>+HLOOKUP(E$30,Model!$E$7:$BW$223,Model!$A50)/1000</f>
        <v>0</v>
      </c>
      <c r="F35" s="720">
        <f>+HLOOKUP(F$30,Model!$E$7:$BW$223,Model!$A50)/1000</f>
        <v>0</v>
      </c>
      <c r="G35" s="720">
        <f>+HLOOKUP(G$30,Model!$E$7:$BW$223,Model!$A50)/1000</f>
        <v>0</v>
      </c>
      <c r="H35" s="721">
        <f>+HLOOKUP(H$30,Model!$E$7:$BW$223,Model!$A50)/1000</f>
        <v>0</v>
      </c>
      <c r="I35" s="720">
        <f>+HLOOKUP(I$30,Model!$E$7:$BW$223,Model!$A50)/1000</f>
        <v>0</v>
      </c>
      <c r="J35" s="720">
        <f>+HLOOKUP(J$30,Model!$E$7:$BW$223,Model!$A50)/1000</f>
        <v>0</v>
      </c>
      <c r="K35" s="720">
        <f>+HLOOKUP(K$30,Model!$E$7:$BW$223,Model!$A50)/1000</f>
        <v>0</v>
      </c>
      <c r="L35" s="720">
        <f>+SUM(E35:H35)</f>
        <v>0</v>
      </c>
      <c r="M35" s="721">
        <f>+HLOOKUP(M$30,Model!$E$7:$BW$223,Model!$A50)/1000</f>
        <v>0</v>
      </c>
    </row>
    <row r="36" spans="2:24" s="564" customFormat="1">
      <c r="B36" s="560" t="s">
        <v>135</v>
      </c>
      <c r="C36" s="563"/>
      <c r="D36" s="704" t="e">
        <f>+HLOOKUP(D$30,Model!$E$7:$BW$223,Model!$A51)</f>
        <v>#DIV/0!</v>
      </c>
      <c r="E36" s="704" t="e">
        <f>+HLOOKUP(E$30,Model!$E$7:$BW$223,Model!$A51)</f>
        <v>#DIV/0!</v>
      </c>
      <c r="F36" s="704" t="e">
        <f>+HLOOKUP(F$30,Model!$E$7:$BW$223,Model!$A51)</f>
        <v>#DIV/0!</v>
      </c>
      <c r="G36" s="704" t="e">
        <f>+HLOOKUP(G$30,Model!$E$7:$BW$223,Model!$A51)</f>
        <v>#DIV/0!</v>
      </c>
      <c r="H36" s="705" t="e">
        <f>+HLOOKUP(H$30,Model!$E$7:$BW$223,Model!$A51)</f>
        <v>#DIV/0!</v>
      </c>
      <c r="I36" s="704" t="e">
        <f>+HLOOKUP(I$30,Model!$E$7:$BW$223,Model!$A51)</f>
        <v>#DIV/0!</v>
      </c>
      <c r="J36" s="704" t="e">
        <f>+HLOOKUP(J$30,Model!$E$7:$BW$223,Model!$A51)</f>
        <v>#DIV/0!</v>
      </c>
      <c r="K36" s="704" t="e">
        <f>+HLOOKUP(K$30,Model!$E$7:$BW$223,Model!$A51)</f>
        <v>#DIV/0!</v>
      </c>
      <c r="L36" s="704"/>
      <c r="M36" s="705" t="e">
        <f>+HLOOKUP(M$30,Model!$E$7:$BW$223,Model!$A51)</f>
        <v>#DIV/0!</v>
      </c>
      <c r="U36" s="443"/>
      <c r="V36" s="443"/>
      <c r="W36" s="443"/>
      <c r="X36" s="443"/>
    </row>
    <row r="37" spans="2:24">
      <c r="B37" s="537" t="str">
        <f>+Model!B53</f>
        <v>Segment 4</v>
      </c>
      <c r="C37" s="562"/>
      <c r="D37" s="720">
        <f>+HLOOKUP(D$30,Model!$E$7:$BW$223,Model!$A53)/1000</f>
        <v>0</v>
      </c>
      <c r="E37" s="720">
        <v>0</v>
      </c>
      <c r="F37" s="720">
        <v>0</v>
      </c>
      <c r="G37" s="720">
        <v>0</v>
      </c>
      <c r="H37" s="721">
        <v>0</v>
      </c>
      <c r="I37" s="720">
        <v>0</v>
      </c>
      <c r="J37" s="720">
        <v>0</v>
      </c>
      <c r="K37" s="720">
        <v>0</v>
      </c>
      <c r="L37" s="720">
        <f>+SUM(E37:H37)</f>
        <v>0</v>
      </c>
      <c r="M37" s="721">
        <v>0</v>
      </c>
    </row>
    <row r="38" spans="2:24" s="564" customFormat="1">
      <c r="B38" s="560" t="s">
        <v>135</v>
      </c>
      <c r="C38" s="563"/>
      <c r="D38" s="704" t="e">
        <f>+HLOOKUP(D$30,Model!$E$7:$BW$223,Model!$A54)</f>
        <v>#DIV/0!</v>
      </c>
      <c r="E38" s="704" t="e">
        <f>+HLOOKUP(E$30,Model!$E$7:$BW$223,Model!$A54)</f>
        <v>#DIV/0!</v>
      </c>
      <c r="F38" s="704" t="e">
        <f>+HLOOKUP(F$30,Model!$E$7:$BW$223,Model!$A54)</f>
        <v>#DIV/0!</v>
      </c>
      <c r="G38" s="704" t="e">
        <f>+HLOOKUP(G$30,Model!$E$7:$BW$223,Model!$A54)</f>
        <v>#DIV/0!</v>
      </c>
      <c r="H38" s="705" t="e">
        <f>+HLOOKUP(H$30,Model!$E$7:$BW$223,Model!$A54)</f>
        <v>#DIV/0!</v>
      </c>
      <c r="I38" s="704" t="e">
        <f>+HLOOKUP(I$30,Model!$E$7:$BW$223,Model!$A54)</f>
        <v>#DIV/0!</v>
      </c>
      <c r="J38" s="704" t="e">
        <f>+HLOOKUP(J$30,Model!$E$7:$BW$223,Model!$A54)</f>
        <v>#DIV/0!</v>
      </c>
      <c r="K38" s="704" t="e">
        <f>+HLOOKUP(K$30,Model!$E$7:$BW$223,Model!$A54)</f>
        <v>#DIV/0!</v>
      </c>
      <c r="L38" s="704"/>
      <c r="M38" s="705" t="e">
        <f>+HLOOKUP(M$30,Model!$E$7:$BW$223,Model!$A54)</f>
        <v>#DIV/0!</v>
      </c>
      <c r="U38" s="443"/>
      <c r="V38" s="443"/>
      <c r="W38" s="443"/>
      <c r="X38" s="443"/>
    </row>
    <row r="39" spans="2:24">
      <c r="B39" s="537" t="str">
        <f>+Model!B56</f>
        <v>Segment 5</v>
      </c>
      <c r="C39" s="562"/>
      <c r="D39" s="720">
        <f>+HLOOKUP(D$30,Model!$E$7:$BW$223,Model!$A56)/1000</f>
        <v>0</v>
      </c>
      <c r="E39" s="720">
        <f>+HLOOKUP(E$30,Model!$E$7:$BW$223,Model!$A56)/1000</f>
        <v>0</v>
      </c>
      <c r="F39" s="720">
        <f>+HLOOKUP(F$30,Model!$E$7:$BW$223,Model!$A56)/1000</f>
        <v>0</v>
      </c>
      <c r="G39" s="720">
        <f>+HLOOKUP(G$30,Model!$E$7:$BW$223,Model!$A56)/1000</f>
        <v>0</v>
      </c>
      <c r="H39" s="721">
        <f>+HLOOKUP(H$30,Model!$E$7:$BW$223,Model!$A56)/1000</f>
        <v>0</v>
      </c>
      <c r="I39" s="720">
        <f>+HLOOKUP(I$30,Model!$E$7:$BW$223,Model!$A56)/1000</f>
        <v>0</v>
      </c>
      <c r="J39" s="720">
        <f>+HLOOKUP(J$30,Model!$E$7:$BW$223,Model!$A56)/1000</f>
        <v>0</v>
      </c>
      <c r="K39" s="720">
        <f>+HLOOKUP(K$30,Model!$E$7:$BW$223,Model!$A56)/1000</f>
        <v>0</v>
      </c>
      <c r="L39" s="720">
        <f>+SUM(E39:H39)</f>
        <v>0</v>
      </c>
      <c r="M39" s="721">
        <f>+HLOOKUP(M$30,Model!$E$7:$BW$223,Model!$A56)/1000</f>
        <v>0</v>
      </c>
    </row>
    <row r="40" spans="2:24" s="564" customFormat="1">
      <c r="B40" s="560" t="s">
        <v>135</v>
      </c>
      <c r="C40" s="563"/>
      <c r="D40" s="704" t="e">
        <f>+HLOOKUP(D$30,Model!$E$7:$BW$223,Model!$A57)</f>
        <v>#DIV/0!</v>
      </c>
      <c r="E40" s="704" t="e">
        <f>+HLOOKUP(E$30,Model!$E$7:$BW$223,Model!$A57)</f>
        <v>#DIV/0!</v>
      </c>
      <c r="F40" s="704" t="e">
        <f>+HLOOKUP(F$30,Model!$E$7:$BW$223,Model!$A57)</f>
        <v>#DIV/0!</v>
      </c>
      <c r="G40" s="704" t="e">
        <f>+HLOOKUP(G$30,Model!$E$7:$BW$223,Model!$A57)</f>
        <v>#DIV/0!</v>
      </c>
      <c r="H40" s="705" t="e">
        <f>+HLOOKUP(H$30,Model!$E$7:$BW$223,Model!$A57)</f>
        <v>#DIV/0!</v>
      </c>
      <c r="I40" s="704" t="e">
        <f>+HLOOKUP(I$30,Model!$E$7:$BW$223,Model!$A57)</f>
        <v>#DIV/0!</v>
      </c>
      <c r="J40" s="704" t="e">
        <f>+HLOOKUP(J$30,Model!$E$7:$BW$223,Model!$A57)</f>
        <v>#DIV/0!</v>
      </c>
      <c r="K40" s="704" t="e">
        <f>+HLOOKUP(K$30,Model!$E$7:$BW$223,Model!$A57)</f>
        <v>#DIV/0!</v>
      </c>
      <c r="L40" s="704"/>
      <c r="M40" s="705" t="e">
        <f>+HLOOKUP(M$30,Model!$E$7:$BW$223,Model!$A57)</f>
        <v>#DIV/0!</v>
      </c>
      <c r="U40" s="443"/>
      <c r="V40" s="443"/>
      <c r="W40" s="443"/>
      <c r="X40" s="443"/>
    </row>
    <row r="41" spans="2:24" ht="3" customHeight="1">
      <c r="B41" s="537"/>
      <c r="C41" s="565"/>
      <c r="D41" s="706"/>
      <c r="E41" s="706"/>
      <c r="F41" s="706"/>
      <c r="G41" s="706"/>
      <c r="H41" s="707"/>
      <c r="I41" s="708"/>
      <c r="J41" s="709"/>
      <c r="K41" s="709"/>
      <c r="L41" s="709"/>
      <c r="M41" s="710"/>
      <c r="V41" s="566"/>
    </row>
    <row r="42" spans="2:24" s="489" customFormat="1">
      <c r="B42" s="567" t="s">
        <v>136</v>
      </c>
      <c r="C42" s="568"/>
      <c r="D42" s="728">
        <f>+HLOOKUP(D$30,Model!$E$7:$BW$223,Model!$A59)/1000</f>
        <v>0</v>
      </c>
      <c r="E42" s="728">
        <f>+HLOOKUP(E$30,Model!$E$7:$BW$223,Model!$A59)/1000</f>
        <v>0</v>
      </c>
      <c r="F42" s="728">
        <f>+HLOOKUP(F$30,Model!$E$7:$BW$223,Model!$A59)/1000</f>
        <v>0</v>
      </c>
      <c r="G42" s="728">
        <f>+HLOOKUP(G$30,Model!$E$7:$BW$223,Model!$A59)/1000</f>
        <v>0</v>
      </c>
      <c r="H42" s="728">
        <f>+HLOOKUP(H$30,Model!$E$7:$BW$223,Model!$A59)/1000</f>
        <v>0</v>
      </c>
      <c r="I42" s="742">
        <f>+HLOOKUP(I$30,Model!$E$7:$BW$223,Model!$A59)/1000</f>
        <v>0</v>
      </c>
      <c r="J42" s="728">
        <f>+HLOOKUP(J$30,Model!$E$7:$BW$223,Model!$A59)/1000</f>
        <v>0</v>
      </c>
      <c r="K42" s="728">
        <f>+HLOOKUP(K$30,Model!$E$7:$BW$223,Model!$A59)/1000</f>
        <v>0</v>
      </c>
      <c r="L42" s="728">
        <f>+SUM(E42:H42)</f>
        <v>0</v>
      </c>
      <c r="M42" s="729">
        <f>+HLOOKUP(M$30,Model!$E$7:$BW$223,Model!$A59)/1000</f>
        <v>0</v>
      </c>
      <c r="N42" s="443"/>
      <c r="U42" s="443"/>
      <c r="V42" s="561"/>
    </row>
    <row r="43" spans="2:24" s="561" customFormat="1">
      <c r="B43" s="560" t="s">
        <v>135</v>
      </c>
      <c r="C43" s="569"/>
      <c r="D43" s="704" t="e">
        <f>+HLOOKUP(D$30,Model!$E$7:$BW$223,Model!$A60)</f>
        <v>#DIV/0!</v>
      </c>
      <c r="E43" s="704" t="e">
        <f>+HLOOKUP(E$30,Model!$E$7:$BW$223,Model!$A60)</f>
        <v>#DIV/0!</v>
      </c>
      <c r="F43" s="704" t="e">
        <f>+HLOOKUP(F$30,Model!$E$7:$BW$223,Model!$A60)</f>
        <v>#DIV/0!</v>
      </c>
      <c r="G43" s="704" t="e">
        <f>+HLOOKUP(G$30,Model!$E$7:$BW$223,Model!$A60)</f>
        <v>#DIV/0!</v>
      </c>
      <c r="H43" s="705" t="e">
        <f>+HLOOKUP(H$30,Model!$E$7:$BW$223,Model!$A60)</f>
        <v>#DIV/0!</v>
      </c>
      <c r="I43" s="704" t="e">
        <f>+HLOOKUP(I$30,Model!$E$7:$BW$223,Model!$A60)</f>
        <v>#DIV/0!</v>
      </c>
      <c r="J43" s="704" t="e">
        <f>+HLOOKUP(J$30,Model!$E$7:$BW$223,Model!$A60)</f>
        <v>#DIV/0!</v>
      </c>
      <c r="K43" s="704" t="e">
        <f>+HLOOKUP(K$30,Model!$E$7:$BW$223,Model!$A60)</f>
        <v>#DIV/0!</v>
      </c>
      <c r="L43" s="704"/>
      <c r="M43" s="705" t="e">
        <f>+HLOOKUP(M$30,Model!$E$7:$BW$223,Model!$A60)</f>
        <v>#DIV/0!</v>
      </c>
      <c r="N43" s="443"/>
      <c r="U43" s="489"/>
      <c r="W43" s="443"/>
    </row>
    <row r="44" spans="2:24" ht="6" customHeight="1">
      <c r="B44" s="549"/>
      <c r="D44" s="711"/>
      <c r="E44" s="700"/>
      <c r="F44" s="700"/>
      <c r="G44" s="712"/>
      <c r="H44" s="712"/>
      <c r="I44" s="713"/>
      <c r="J44" s="714"/>
      <c r="K44" s="700"/>
      <c r="L44" s="700"/>
      <c r="M44" s="701"/>
    </row>
    <row r="45" spans="2:24">
      <c r="B45" s="537" t="s">
        <v>137</v>
      </c>
      <c r="C45" s="565"/>
      <c r="D45" s="720">
        <f>+HLOOKUP(D$30,Model!$E$7:$BW$223,Model!$A64)/1000</f>
        <v>0</v>
      </c>
      <c r="E45" s="720">
        <f>+HLOOKUP(E$30,Model!$E$7:$BW$223,Model!$A64)/1000</f>
        <v>0</v>
      </c>
      <c r="F45" s="720">
        <f>+HLOOKUP(F$30,Model!$E$7:$BW$223,Model!$A64)/1000</f>
        <v>0</v>
      </c>
      <c r="G45" s="720">
        <f>+HLOOKUP(G$30,Model!$E$7:$BW$223,Model!$A64)/1000</f>
        <v>0</v>
      </c>
      <c r="H45" s="720">
        <f>+HLOOKUP(H$30,Model!$E$7:$BW$223,Model!$A64)/1000</f>
        <v>0</v>
      </c>
      <c r="I45" s="743">
        <f>+HLOOKUP(I$30,Model!$E$7:$BW$223,Model!$A64)/1000</f>
        <v>0</v>
      </c>
      <c r="J45" s="720">
        <f>+HLOOKUP(J$30,Model!$E$7:$BW$223,Model!$A64)/1000</f>
        <v>0</v>
      </c>
      <c r="K45" s="720">
        <f>+HLOOKUP(K$30,Model!$E$7:$BW$223,Model!$A64)/1000</f>
        <v>0</v>
      </c>
      <c r="L45" s="720">
        <f>+SUM(E45:H45)</f>
        <v>0</v>
      </c>
      <c r="M45" s="721">
        <f>+HLOOKUP(M$30,Model!$E$7:$BW$223,Model!$A64)/1000</f>
        <v>0</v>
      </c>
    </row>
    <row r="46" spans="2:24" s="561" customFormat="1">
      <c r="B46" s="560" t="s">
        <v>138</v>
      </c>
      <c r="C46" s="569"/>
      <c r="D46" s="704" t="e">
        <f t="shared" ref="D46:J46" si="0">+D45/D42</f>
        <v>#DIV/0!</v>
      </c>
      <c r="E46" s="704" t="e">
        <f t="shared" si="0"/>
        <v>#DIV/0!</v>
      </c>
      <c r="F46" s="704" t="e">
        <f t="shared" si="0"/>
        <v>#DIV/0!</v>
      </c>
      <c r="G46" s="704" t="e">
        <f t="shared" si="0"/>
        <v>#DIV/0!</v>
      </c>
      <c r="H46" s="705" t="e">
        <f t="shared" si="0"/>
        <v>#DIV/0!</v>
      </c>
      <c r="I46" s="704" t="e">
        <f t="shared" si="0"/>
        <v>#DIV/0!</v>
      </c>
      <c r="J46" s="704" t="e">
        <f t="shared" si="0"/>
        <v>#DIV/0!</v>
      </c>
      <c r="K46" s="704" t="e">
        <f>+K45/K42</f>
        <v>#DIV/0!</v>
      </c>
      <c r="L46" s="704" t="e">
        <f>+L45/L42</f>
        <v>#DIV/0!</v>
      </c>
      <c r="M46" s="705" t="e">
        <f>+M45/M42</f>
        <v>#DIV/0!</v>
      </c>
      <c r="N46" s="443"/>
      <c r="Q46" s="443"/>
    </row>
    <row r="47" spans="2:24" ht="6" customHeight="1">
      <c r="B47" s="549"/>
      <c r="D47" s="711"/>
      <c r="E47" s="700"/>
      <c r="F47" s="700"/>
      <c r="G47" s="712"/>
      <c r="H47" s="712"/>
      <c r="I47" s="713"/>
      <c r="J47" s="714"/>
      <c r="K47" s="700"/>
      <c r="L47" s="700"/>
      <c r="M47" s="701"/>
      <c r="Q47" s="566"/>
    </row>
    <row r="48" spans="2:24">
      <c r="B48" s="537" t="s">
        <v>139</v>
      </c>
      <c r="C48" s="565"/>
      <c r="D48" s="720">
        <f>+HLOOKUP(D$30,Model!$E$7:$BW$223,Model!$A70)/1000</f>
        <v>0</v>
      </c>
      <c r="E48" s="720">
        <f>+HLOOKUP(E$30,Model!$E$7:$BW$223,Model!$A70)/1000</f>
        <v>0</v>
      </c>
      <c r="F48" s="720">
        <f>+HLOOKUP(F$30,Model!$E$7:$BW$223,Model!$A70)/1000</f>
        <v>0</v>
      </c>
      <c r="G48" s="720">
        <f>+HLOOKUP(G$30,Model!$E$7:$BW$223,Model!$A70)/1000</f>
        <v>0</v>
      </c>
      <c r="H48" s="720">
        <f>+HLOOKUP(H$30,Model!$E$7:$BW$223,Model!$A70)/1000</f>
        <v>0</v>
      </c>
      <c r="I48" s="743">
        <f>+HLOOKUP(I$30,Model!$E$7:$BW$223,Model!$A70)/1000</f>
        <v>0</v>
      </c>
      <c r="J48" s="720">
        <f>+HLOOKUP(J$30,Model!$E$7:$BW$223,Model!$A70)/1000</f>
        <v>0</v>
      </c>
      <c r="K48" s="720">
        <f>+HLOOKUP(K$30,Model!$E$7:$BW$223,Model!$A70)/1000</f>
        <v>0</v>
      </c>
      <c r="L48" s="720">
        <f>+SUM(E48:H48)</f>
        <v>0</v>
      </c>
      <c r="M48" s="721">
        <f>+HLOOKUP(M$30,Model!$E$7:$BW$223,Model!$A70)/1000</f>
        <v>0</v>
      </c>
    </row>
    <row r="49" spans="2:17" s="561" customFormat="1">
      <c r="B49" s="560" t="s">
        <v>138</v>
      </c>
      <c r="C49" s="569"/>
      <c r="D49" s="704" t="e">
        <f t="shared" ref="D49:J49" si="1">+D48/D42</f>
        <v>#DIV/0!</v>
      </c>
      <c r="E49" s="704" t="e">
        <f t="shared" si="1"/>
        <v>#DIV/0!</v>
      </c>
      <c r="F49" s="704" t="e">
        <f t="shared" si="1"/>
        <v>#DIV/0!</v>
      </c>
      <c r="G49" s="704" t="e">
        <f t="shared" si="1"/>
        <v>#DIV/0!</v>
      </c>
      <c r="H49" s="705" t="e">
        <f t="shared" si="1"/>
        <v>#DIV/0!</v>
      </c>
      <c r="I49" s="704" t="e">
        <f t="shared" si="1"/>
        <v>#DIV/0!</v>
      </c>
      <c r="J49" s="704" t="e">
        <f t="shared" si="1"/>
        <v>#DIV/0!</v>
      </c>
      <c r="K49" s="704" t="e">
        <f>+K48/K42</f>
        <v>#DIV/0!</v>
      </c>
      <c r="L49" s="704" t="e">
        <f>+L48/L42</f>
        <v>#DIV/0!</v>
      </c>
      <c r="M49" s="705" t="e">
        <f>+M48/M42</f>
        <v>#DIV/0!</v>
      </c>
      <c r="N49" s="443"/>
      <c r="Q49" s="443"/>
    </row>
    <row r="50" spans="2:17" ht="6" customHeight="1">
      <c r="B50" s="549"/>
      <c r="D50" s="711"/>
      <c r="E50" s="700"/>
      <c r="F50" s="700"/>
      <c r="G50" s="712"/>
      <c r="H50" s="712"/>
      <c r="I50" s="713"/>
      <c r="J50" s="714"/>
      <c r="K50" s="714"/>
      <c r="L50" s="714"/>
      <c r="M50" s="715"/>
    </row>
    <row r="51" spans="2:17" s="489" customFormat="1">
      <c r="B51" s="567" t="s">
        <v>140</v>
      </c>
      <c r="C51" s="568"/>
      <c r="D51" s="728">
        <f>+HLOOKUP(D$30,Model!$E$7:$BW$223,Model!$A14)/1000</f>
        <v>0</v>
      </c>
      <c r="E51" s="728">
        <f>+HLOOKUP(E$30,Model!$E$7:$BW$223,Model!$A14)/1000</f>
        <v>0</v>
      </c>
      <c r="F51" s="728">
        <f>+HLOOKUP(F$30,Model!$E$7:$BW$223,Model!$A14)/1000</f>
        <v>0</v>
      </c>
      <c r="G51" s="728">
        <f>+HLOOKUP(G$30,Model!$E$7:$BW$223,Model!$A14)/1000</f>
        <v>0</v>
      </c>
      <c r="H51" s="728">
        <f>+HLOOKUP(H$30,Model!$E$7:$BW$223,Model!$A14)/1000</f>
        <v>0</v>
      </c>
      <c r="I51" s="742">
        <f>+HLOOKUP(I$30,Model!$E$7:$BW$223,Model!$A14)/1000</f>
        <v>0</v>
      </c>
      <c r="J51" s="728">
        <f>+HLOOKUP(J$30,Model!$E$7:$BW$223,Model!$A14)/1000</f>
        <v>0</v>
      </c>
      <c r="K51" s="728">
        <f>+HLOOKUP(K$30,Model!$E$7:$BW$223,Model!$A14)/1000</f>
        <v>0</v>
      </c>
      <c r="L51" s="728">
        <f>+SUM(E51:H51)</f>
        <v>0</v>
      </c>
      <c r="M51" s="729">
        <f>+HLOOKUP(M$30,Model!$E$7:$BW$223,Model!$A14)/1000</f>
        <v>0</v>
      </c>
      <c r="N51" s="443"/>
    </row>
    <row r="52" spans="2:17" s="561" customFormat="1">
      <c r="B52" s="560" t="s">
        <v>141</v>
      </c>
      <c r="C52" s="569"/>
      <c r="D52" s="704" t="e">
        <f t="shared" ref="D52:M52" si="2">+D51/D42</f>
        <v>#DIV/0!</v>
      </c>
      <c r="E52" s="704" t="e">
        <f t="shared" si="2"/>
        <v>#DIV/0!</v>
      </c>
      <c r="F52" s="704" t="e">
        <f t="shared" si="2"/>
        <v>#DIV/0!</v>
      </c>
      <c r="G52" s="704" t="e">
        <f t="shared" si="2"/>
        <v>#DIV/0!</v>
      </c>
      <c r="H52" s="705" t="e">
        <f t="shared" si="2"/>
        <v>#DIV/0!</v>
      </c>
      <c r="I52" s="704" t="e">
        <f t="shared" si="2"/>
        <v>#DIV/0!</v>
      </c>
      <c r="J52" s="704" t="e">
        <f t="shared" si="2"/>
        <v>#DIV/0!</v>
      </c>
      <c r="K52" s="704" t="e">
        <f>+K51/K42</f>
        <v>#DIV/0!</v>
      </c>
      <c r="L52" s="704" t="e">
        <f>+L51/L42</f>
        <v>#DIV/0!</v>
      </c>
      <c r="M52" s="705" t="e">
        <f t="shared" si="2"/>
        <v>#DIV/0!</v>
      </c>
      <c r="N52" s="443"/>
      <c r="Q52" s="443"/>
    </row>
    <row r="53" spans="2:17" s="561" customFormat="1">
      <c r="B53" s="560" t="s">
        <v>135</v>
      </c>
      <c r="C53" s="569"/>
      <c r="D53" s="704" t="e">
        <f>+HLOOKUP(D$30,Model!$E$7:$BW$223,Model!$A16)</f>
        <v>#DIV/0!</v>
      </c>
      <c r="E53" s="704" t="e">
        <f>+HLOOKUP(E$30,Model!$E$7:$BW$223,Model!$A16)</f>
        <v>#DIV/0!</v>
      </c>
      <c r="F53" s="704" t="e">
        <f>+HLOOKUP(F$30,Model!$E$7:$BW$223,Model!$A16)</f>
        <v>#DIV/0!</v>
      </c>
      <c r="G53" s="704" t="e">
        <f>+HLOOKUP(G$30,Model!$E$7:$BW$223,Model!$A16)</f>
        <v>#DIV/0!</v>
      </c>
      <c r="H53" s="705" t="e">
        <f>+HLOOKUP(H$30,Model!$E$7:$BW$223,Model!$A16)</f>
        <v>#DIV/0!</v>
      </c>
      <c r="I53" s="704" t="e">
        <f>+HLOOKUP(I$30,Model!$E$7:$BW$223,Model!$A16)</f>
        <v>#DIV/0!</v>
      </c>
      <c r="J53" s="704" t="e">
        <f>+HLOOKUP(J$30,Model!$E$7:$BW$223,Model!$A16)</f>
        <v>#DIV/0!</v>
      </c>
      <c r="K53" s="704" t="e">
        <f>+HLOOKUP(K$30,Model!$E$7:$BW$223,Model!$A16)</f>
        <v>#DIV/0!</v>
      </c>
      <c r="L53" s="704"/>
      <c r="M53" s="705" t="e">
        <f>+HLOOKUP(M$30,Model!$E$7:$BW$223,Model!$A16)</f>
        <v>#DIV/0!</v>
      </c>
      <c r="N53" s="443"/>
      <c r="Q53" s="443"/>
    </row>
    <row r="54" spans="2:17" s="561" customFormat="1" ht="5" customHeight="1">
      <c r="B54" s="560"/>
      <c r="C54" s="569"/>
      <c r="D54" s="716"/>
      <c r="E54" s="716"/>
      <c r="F54" s="716"/>
      <c r="G54" s="716"/>
      <c r="H54" s="716"/>
      <c r="I54" s="717"/>
      <c r="J54" s="716"/>
      <c r="K54" s="716"/>
      <c r="L54" s="718"/>
      <c r="M54" s="719"/>
      <c r="N54" s="443"/>
      <c r="Q54" s="443"/>
    </row>
    <row r="55" spans="2:17" ht="13.5" customHeight="1">
      <c r="B55" s="556" t="s">
        <v>142</v>
      </c>
      <c r="C55" s="557"/>
      <c r="D55" s="689"/>
      <c r="E55" s="689"/>
      <c r="F55" s="689"/>
      <c r="G55" s="689"/>
      <c r="H55" s="689"/>
      <c r="I55" s="688"/>
      <c r="J55" s="689"/>
      <c r="K55" s="689"/>
      <c r="L55" s="689"/>
      <c r="M55" s="690"/>
      <c r="N55" s="558"/>
    </row>
    <row r="56" spans="2:17" s="561" customFormat="1" ht="5" customHeight="1">
      <c r="B56" s="560"/>
      <c r="C56" s="569"/>
      <c r="D56" s="716"/>
      <c r="E56" s="716"/>
      <c r="F56" s="716"/>
      <c r="G56" s="716"/>
      <c r="H56" s="716"/>
      <c r="I56" s="717"/>
      <c r="J56" s="716"/>
      <c r="K56" s="716"/>
      <c r="L56" s="718"/>
      <c r="M56" s="719"/>
      <c r="N56" s="443"/>
      <c r="Q56" s="443"/>
    </row>
    <row r="57" spans="2:17" ht="12.75" customHeight="1">
      <c r="B57" s="537" t="s">
        <v>140</v>
      </c>
      <c r="C57" s="538"/>
      <c r="D57" s="720">
        <f t="shared" ref="D57:J57" si="3">+D51</f>
        <v>0</v>
      </c>
      <c r="E57" s="720">
        <f t="shared" si="3"/>
        <v>0</v>
      </c>
      <c r="F57" s="720">
        <f t="shared" si="3"/>
        <v>0</v>
      </c>
      <c r="G57" s="720">
        <f t="shared" si="3"/>
        <v>0</v>
      </c>
      <c r="H57" s="721">
        <f t="shared" si="3"/>
        <v>0</v>
      </c>
      <c r="I57" s="720">
        <f t="shared" si="3"/>
        <v>0</v>
      </c>
      <c r="J57" s="720">
        <f t="shared" si="3"/>
        <v>0</v>
      </c>
      <c r="K57" s="720">
        <f>+K51</f>
        <v>0</v>
      </c>
      <c r="L57" s="720">
        <f t="shared" ref="L57:L62" si="4">+SUM(E57:H57)</f>
        <v>0</v>
      </c>
      <c r="M57" s="721">
        <f>+M51</f>
        <v>0</v>
      </c>
    </row>
    <row r="58" spans="2:17" ht="12.75" customHeight="1">
      <c r="B58" s="537" t="s">
        <v>143</v>
      </c>
      <c r="C58" s="538"/>
      <c r="D58" s="720">
        <f>+HLOOKUP(D$30,Model!$E$7:$BW$223,Model!$A18)/1000</f>
        <v>0</v>
      </c>
      <c r="E58" s="720">
        <f>+HLOOKUP(E$30,Model!$E$7:$BW$223,Model!$A18)/1000</f>
        <v>0</v>
      </c>
      <c r="F58" s="720">
        <f>+HLOOKUP(F$30,Model!$E$7:$BW$223,Model!$A18)/1000</f>
        <v>0</v>
      </c>
      <c r="G58" s="720">
        <f>+HLOOKUP(G$30,Model!$E$7:$BW$223,Model!$A18)/1000</f>
        <v>0</v>
      </c>
      <c r="H58" s="721">
        <f>+HLOOKUP(H$30,Model!$E$7:$BW$223,Model!$A18)/1000</f>
        <v>0</v>
      </c>
      <c r="I58" s="720">
        <f>+HLOOKUP(I$30,Model!$E$7:$BW$223,Model!$A18)/1000</f>
        <v>0</v>
      </c>
      <c r="J58" s="720">
        <f>+HLOOKUP(J$30,Model!$E$7:$BW$223,Model!$A18)/1000</f>
        <v>0</v>
      </c>
      <c r="K58" s="720">
        <f>+HLOOKUP(K$30,Model!$E$7:$BW$223,Model!$A18)/1000</f>
        <v>0</v>
      </c>
      <c r="L58" s="720">
        <f t="shared" si="4"/>
        <v>0</v>
      </c>
      <c r="M58" s="721">
        <f>+HLOOKUP(M$30,Model!$E$7:$BW$223,Model!$A18)/1000</f>
        <v>0</v>
      </c>
    </row>
    <row r="59" spans="2:17">
      <c r="B59" s="537" t="s">
        <v>144</v>
      </c>
      <c r="C59" s="538"/>
      <c r="D59" s="720">
        <f>+HLOOKUP(D$30,Model!$E$7:$BW$223,Model!$A20)/1000</f>
        <v>0</v>
      </c>
      <c r="E59" s="720">
        <f>+HLOOKUP(E$30,Model!$E$7:$BW$223,Model!$A20)/1000</f>
        <v>0</v>
      </c>
      <c r="F59" s="722">
        <f>+HLOOKUP(F$30,Model!$E$7:$BW$223,Model!$A20)/1000</f>
        <v>0</v>
      </c>
      <c r="G59" s="722">
        <f>+HLOOKUP(G$30,Model!$E$7:$BW$223,Model!$A20)/1000</f>
        <v>0</v>
      </c>
      <c r="H59" s="723">
        <f>+HLOOKUP(H$30,Model!$E$7:$BW$223,Model!$A20)/1000</f>
        <v>0</v>
      </c>
      <c r="I59" s="720">
        <f>+HLOOKUP(I$30,Model!$E$7:$BW$223,Model!$A20)/1000</f>
        <v>0</v>
      </c>
      <c r="J59" s="720">
        <f>+HLOOKUP(J$30,Model!$E$7:$BW$223,Model!$A20)/1000</f>
        <v>0</v>
      </c>
      <c r="K59" s="720">
        <f>+HLOOKUP(K$30,Model!$E$7:$BW$223,Model!$A20)/1000</f>
        <v>0</v>
      </c>
      <c r="L59" s="720">
        <f t="shared" si="4"/>
        <v>0</v>
      </c>
      <c r="M59" s="721" t="e">
        <f>+HLOOKUP(M$30,Model!$E$7:$BW$223,Model!$A20)/1000</f>
        <v>#DIV/0!</v>
      </c>
    </row>
    <row r="60" spans="2:17">
      <c r="B60" s="537" t="s">
        <v>145</v>
      </c>
      <c r="C60" s="570"/>
      <c r="D60" s="720">
        <f>+HLOOKUP(D$30,Model!$E$7:$BW$223,Model!$A21)/1000</f>
        <v>0</v>
      </c>
      <c r="E60" s="720">
        <f>+HLOOKUP(E$30,Model!$E$7:$BW$223,Model!$A21)/1000</f>
        <v>0</v>
      </c>
      <c r="F60" s="722">
        <f>+HLOOKUP(F$30,Model!$E$7:$BW$223,Model!$A21)/1000</f>
        <v>0</v>
      </c>
      <c r="G60" s="722">
        <f>+HLOOKUP(G$30,Model!$E$7:$BW$223,Model!$A21)/1000</f>
        <v>0</v>
      </c>
      <c r="H60" s="723">
        <f>+HLOOKUP(H$30,Model!$E$7:$BW$223,Model!$A21)/1000</f>
        <v>0</v>
      </c>
      <c r="I60" s="720">
        <f>+HLOOKUP(I$30,Model!$E$7:$BW$223,Model!$A21)/1000</f>
        <v>0</v>
      </c>
      <c r="J60" s="720">
        <f>+HLOOKUP(J$30,Model!$E$7:$BW$223,Model!$A21)/1000</f>
        <v>0</v>
      </c>
      <c r="K60" s="720">
        <f>+HLOOKUP(K$30,Model!$E$7:$BW$223,Model!$A21)/1000</f>
        <v>0</v>
      </c>
      <c r="L60" s="720">
        <f t="shared" si="4"/>
        <v>0</v>
      </c>
      <c r="M60" s="721" t="e">
        <f>+HLOOKUP(M$30,Model!$E$7:$BW$223,Model!$A21)/1000</f>
        <v>#DIV/0!</v>
      </c>
    </row>
    <row r="61" spans="2:17">
      <c r="B61" s="537" t="s">
        <v>146</v>
      </c>
      <c r="C61" s="570"/>
      <c r="D61" s="720">
        <f>+HLOOKUP(D$30,Model!$E$7:$BW$223,Model!$A163)/1000</f>
        <v>0</v>
      </c>
      <c r="E61" s="720">
        <f>+HLOOKUP(E$30,Model!$E$7:$BW$223,Model!$A163)/1000</f>
        <v>0</v>
      </c>
      <c r="F61" s="720">
        <f>+HLOOKUP(F$30,Model!$E$7:$BW$223,Model!$A163)/1000</f>
        <v>0</v>
      </c>
      <c r="G61" s="720">
        <f>+HLOOKUP(G$30,Model!$E$7:$BW$223,Model!$A163)/1000</f>
        <v>0</v>
      </c>
      <c r="H61" s="721">
        <f>+HLOOKUP(H$30,Model!$E$7:$BW$223,Model!$A163)/1000</f>
        <v>0</v>
      </c>
      <c r="I61" s="720">
        <f>+HLOOKUP(I$30,Model!$E$7:$BW$223,Model!$A163)/1000</f>
        <v>0</v>
      </c>
      <c r="J61" s="720">
        <f>+HLOOKUP(J$30,Model!$E$7:$BW$223,Model!$A163)/1000</f>
        <v>0</v>
      </c>
      <c r="K61" s="720">
        <f>+HLOOKUP(K$30,Model!$E$7:$BW$223,Model!$A163)/1000</f>
        <v>0</v>
      </c>
      <c r="L61" s="720">
        <f t="shared" si="4"/>
        <v>0</v>
      </c>
      <c r="M61" s="721">
        <f>+HLOOKUP(M$30,Model!$E$7:$BW$223,Model!$A163)/1000</f>
        <v>0</v>
      </c>
    </row>
    <row r="62" spans="2:17">
      <c r="B62" s="537" t="s">
        <v>147</v>
      </c>
      <c r="C62" s="538"/>
      <c r="D62" s="724">
        <f>+HLOOKUP(D$30,Model!$E$7:$BW$223,Model!$A19)/1000</f>
        <v>0</v>
      </c>
      <c r="E62" s="724">
        <f>+HLOOKUP(E$30,Model!$E$7:$BW$223,Model!$A19)/1000</f>
        <v>0</v>
      </c>
      <c r="F62" s="724">
        <f>+HLOOKUP(F$30,Model!$E$7:$BW$223,Model!$A19)/1000</f>
        <v>0</v>
      </c>
      <c r="G62" s="724">
        <f>+HLOOKUP(G$30,Model!$E$7:$BW$223,Model!$A19)/1000</f>
        <v>0</v>
      </c>
      <c r="H62" s="725">
        <f>+HLOOKUP(H$30,Model!$E$7:$BW$223,Model!$A19)/1000</f>
        <v>0</v>
      </c>
      <c r="I62" s="724">
        <f>+HLOOKUP(I$30,Model!$E$7:$BW$223,Model!$A19)/1000</f>
        <v>0</v>
      </c>
      <c r="J62" s="724">
        <f>+HLOOKUP(J$30,Model!$E$7:$BW$223,Model!$A19)/1000</f>
        <v>0</v>
      </c>
      <c r="K62" s="724">
        <f>+HLOOKUP(K$30,Model!$E$7:$BW$223,Model!$A19)/1000</f>
        <v>0</v>
      </c>
      <c r="L62" s="726">
        <f t="shared" si="4"/>
        <v>0</v>
      </c>
      <c r="M62" s="727">
        <f>+HLOOKUP(M$30,Model!$E$7:$BW$223,Model!$A19)/1000</f>
        <v>0</v>
      </c>
    </row>
    <row r="63" spans="2:17" s="489" customFormat="1">
      <c r="B63" s="547" t="s">
        <v>148</v>
      </c>
      <c r="C63" s="548"/>
      <c r="D63" s="728">
        <f>+SUM(D57:D62)</f>
        <v>0</v>
      </c>
      <c r="E63" s="728">
        <f t="shared" ref="E63:M63" si="5">+SUM(E57:E62)</f>
        <v>0</v>
      </c>
      <c r="F63" s="728">
        <f t="shared" si="5"/>
        <v>0</v>
      </c>
      <c r="G63" s="728">
        <f t="shared" si="5"/>
        <v>0</v>
      </c>
      <c r="H63" s="729">
        <f t="shared" si="5"/>
        <v>0</v>
      </c>
      <c r="I63" s="728">
        <f t="shared" si="5"/>
        <v>0</v>
      </c>
      <c r="J63" s="728">
        <f t="shared" si="5"/>
        <v>0</v>
      </c>
      <c r="K63" s="728">
        <f>+SUM(K57:K62)</f>
        <v>0</v>
      </c>
      <c r="L63" s="728">
        <f>+SUM(L57:L62)</f>
        <v>0</v>
      </c>
      <c r="M63" s="729" t="e">
        <f t="shared" si="5"/>
        <v>#DIV/0!</v>
      </c>
      <c r="N63" s="443"/>
    </row>
    <row r="64" spans="2:17">
      <c r="B64" s="537" t="s">
        <v>149</v>
      </c>
      <c r="C64" s="538"/>
      <c r="D64" s="720">
        <f>+HLOOKUP(D$30,Model!$E$7:$BW$223,Model!$A154)/1000-D59</f>
        <v>0</v>
      </c>
      <c r="E64" s="720">
        <f>+HLOOKUP(E$30,Model!$E$7:$BW$223,Model!$A154)/1000-E59</f>
        <v>0</v>
      </c>
      <c r="F64" s="720">
        <f>+HLOOKUP(F$30,Model!$E$7:$BW$223,Model!$A154)/1000-F59</f>
        <v>0</v>
      </c>
      <c r="G64" s="720">
        <f>+HLOOKUP(G$30,Model!$E$7:$BW$223,Model!$A154)/1000-G59</f>
        <v>0</v>
      </c>
      <c r="H64" s="721">
        <f>+HLOOKUP(H$30,Model!$E$7:$BW$223,Model!$A154)/1000-H59</f>
        <v>0</v>
      </c>
      <c r="I64" s="720">
        <f>+HLOOKUP(I$30,Model!$E$7:$BW$223,Model!$A154)/1000-I59</f>
        <v>0</v>
      </c>
      <c r="J64" s="720">
        <f>+HLOOKUP(J$30,Model!$E$7:$BW$223,Model!$A154)/1000-J59</f>
        <v>0</v>
      </c>
      <c r="K64" s="720">
        <f>+HLOOKUP(K$30,Model!$E$7:$BW$223,Model!$A154)/1000-K59</f>
        <v>0</v>
      </c>
      <c r="L64" s="720">
        <f>+SUM(E64:H64)</f>
        <v>0</v>
      </c>
      <c r="M64" s="721" t="e">
        <f>+HLOOKUP(M$30,Model!$E$7:$BW$223,Model!$A154)/1000-M59</f>
        <v>#DIV/0!</v>
      </c>
    </row>
    <row r="65" spans="2:14">
      <c r="B65" s="537" t="s">
        <v>150</v>
      </c>
      <c r="C65" s="538"/>
      <c r="D65" s="720"/>
      <c r="E65" s="720"/>
      <c r="F65" s="720"/>
      <c r="G65" s="720"/>
      <c r="H65" s="721"/>
      <c r="I65" s="720"/>
      <c r="J65" s="720"/>
      <c r="K65" s="720"/>
      <c r="L65" s="720">
        <f>+SUM(E65:H65)</f>
        <v>0</v>
      </c>
      <c r="M65" s="721"/>
    </row>
    <row r="66" spans="2:14">
      <c r="B66" s="537" t="s">
        <v>151</v>
      </c>
      <c r="C66" s="538"/>
      <c r="D66" s="730"/>
      <c r="E66" s="730"/>
      <c r="F66" s="730"/>
      <c r="G66" s="731"/>
      <c r="H66" s="725"/>
      <c r="I66" s="731"/>
      <c r="J66" s="726"/>
      <c r="K66" s="726"/>
      <c r="L66" s="726">
        <f>+SUM(E66:H66)</f>
        <v>0</v>
      </c>
      <c r="M66" s="727"/>
    </row>
    <row r="67" spans="2:14" s="489" customFormat="1">
      <c r="B67" s="547" t="s">
        <v>152</v>
      </c>
      <c r="C67" s="548"/>
      <c r="D67" s="728">
        <f>+D63+SUM(D64:D66)</f>
        <v>0</v>
      </c>
      <c r="E67" s="728">
        <f t="shared" ref="E67:J67" si="6">+E63+SUM(E64:E66)</f>
        <v>0</v>
      </c>
      <c r="F67" s="728">
        <f t="shared" si="6"/>
        <v>0</v>
      </c>
      <c r="G67" s="728">
        <f t="shared" si="6"/>
        <v>0</v>
      </c>
      <c r="H67" s="729">
        <f>+H63+SUM(H64:H66)</f>
        <v>0</v>
      </c>
      <c r="I67" s="728">
        <f t="shared" si="6"/>
        <v>0</v>
      </c>
      <c r="J67" s="728">
        <f t="shared" si="6"/>
        <v>0</v>
      </c>
      <c r="K67" s="728">
        <f>+K63+SUM(K64:K66)</f>
        <v>0</v>
      </c>
      <c r="L67" s="728">
        <f>+L63+SUM(L64:L66)</f>
        <v>0</v>
      </c>
      <c r="M67" s="729" t="e">
        <f>+M63+SUM(M64:M66)</f>
        <v>#DIV/0!</v>
      </c>
      <c r="N67" s="443"/>
    </row>
    <row r="68" spans="2:14" s="489" customFormat="1" ht="6" customHeight="1">
      <c r="B68" s="571"/>
      <c r="C68" s="572"/>
      <c r="D68" s="732"/>
      <c r="E68" s="732"/>
      <c r="F68" s="732"/>
      <c r="G68" s="732"/>
      <c r="H68" s="732"/>
      <c r="I68" s="733"/>
      <c r="J68" s="732"/>
      <c r="K68" s="732"/>
      <c r="L68" s="732"/>
      <c r="M68" s="734"/>
      <c r="N68" s="443"/>
    </row>
    <row r="69" spans="2:14" ht="13.5" customHeight="1">
      <c r="B69" s="556" t="s">
        <v>153</v>
      </c>
      <c r="C69" s="557"/>
      <c r="D69" s="698"/>
      <c r="E69" s="698"/>
      <c r="F69" s="698"/>
      <c r="G69" s="698"/>
      <c r="H69" s="698"/>
      <c r="I69" s="735"/>
      <c r="J69" s="698"/>
      <c r="K69" s="698"/>
      <c r="L69" s="698"/>
      <c r="M69" s="699"/>
    </row>
    <row r="70" spans="2:14" ht="6.75" customHeight="1">
      <c r="B70" s="559"/>
      <c r="C70" s="489"/>
      <c r="D70" s="700"/>
      <c r="E70" s="700"/>
      <c r="F70" s="700"/>
      <c r="G70" s="700"/>
      <c r="H70" s="700"/>
      <c r="I70" s="736"/>
      <c r="J70" s="700"/>
      <c r="K70" s="700"/>
      <c r="L70" s="700"/>
      <c r="M70" s="701"/>
    </row>
    <row r="71" spans="2:14">
      <c r="B71" s="537" t="s">
        <v>154</v>
      </c>
      <c r="C71" s="538"/>
      <c r="D71" s="702" t="e">
        <f t="shared" ref="D71:M71" si="7">+D51/-D58</f>
        <v>#DIV/0!</v>
      </c>
      <c r="E71" s="702" t="e">
        <f t="shared" si="7"/>
        <v>#DIV/0!</v>
      </c>
      <c r="F71" s="702" t="e">
        <f t="shared" si="7"/>
        <v>#DIV/0!</v>
      </c>
      <c r="G71" s="702" t="e">
        <f t="shared" si="7"/>
        <v>#DIV/0!</v>
      </c>
      <c r="H71" s="702" t="e">
        <f t="shared" si="7"/>
        <v>#DIV/0!</v>
      </c>
      <c r="I71" s="737" t="e">
        <f t="shared" si="7"/>
        <v>#DIV/0!</v>
      </c>
      <c r="J71" s="738" t="e">
        <f t="shared" si="7"/>
        <v>#DIV/0!</v>
      </c>
      <c r="K71" s="738" t="e">
        <f>+K51/-K58</f>
        <v>#DIV/0!</v>
      </c>
      <c r="L71" s="738" t="e">
        <f>+L51/-L58</f>
        <v>#DIV/0!</v>
      </c>
      <c r="M71" s="739" t="e">
        <f t="shared" si="7"/>
        <v>#DIV/0!</v>
      </c>
    </row>
    <row r="72" spans="2:14">
      <c r="B72" s="537" t="s">
        <v>155</v>
      </c>
      <c r="C72" s="538"/>
      <c r="D72" s="702" t="e">
        <f t="shared" ref="D72:M72" si="8">+(D51+D59)/-D58</f>
        <v>#DIV/0!</v>
      </c>
      <c r="E72" s="702" t="e">
        <f t="shared" si="8"/>
        <v>#DIV/0!</v>
      </c>
      <c r="F72" s="702" t="e">
        <f t="shared" si="8"/>
        <v>#DIV/0!</v>
      </c>
      <c r="G72" s="702" t="e">
        <f t="shared" si="8"/>
        <v>#DIV/0!</v>
      </c>
      <c r="H72" s="702" t="e">
        <f t="shared" si="8"/>
        <v>#DIV/0!</v>
      </c>
      <c r="I72" s="740" t="e">
        <f t="shared" si="8"/>
        <v>#DIV/0!</v>
      </c>
      <c r="J72" s="702" t="e">
        <f t="shared" si="8"/>
        <v>#DIV/0!</v>
      </c>
      <c r="K72" s="702" t="e">
        <f>+(K51+K59)/-K58</f>
        <v>#DIV/0!</v>
      </c>
      <c r="L72" s="702" t="e">
        <f>+(L51+L59)/-L58</f>
        <v>#DIV/0!</v>
      </c>
      <c r="M72" s="703" t="e">
        <f t="shared" si="8"/>
        <v>#DIV/0!</v>
      </c>
    </row>
    <row r="73" spans="2:14" ht="6" customHeight="1">
      <c r="B73" s="537"/>
      <c r="C73" s="538"/>
      <c r="D73" s="702"/>
      <c r="E73" s="702"/>
      <c r="F73" s="702"/>
      <c r="G73" s="702"/>
      <c r="H73" s="702"/>
      <c r="I73" s="740"/>
      <c r="J73" s="702"/>
      <c r="K73" s="702"/>
      <c r="L73" s="702"/>
      <c r="M73" s="703"/>
    </row>
    <row r="74" spans="2:14" ht="13.5" customHeight="1">
      <c r="B74" s="556" t="s">
        <v>156</v>
      </c>
      <c r="C74" s="557"/>
      <c r="D74" s="698"/>
      <c r="E74" s="698"/>
      <c r="F74" s="698"/>
      <c r="G74" s="698"/>
      <c r="H74" s="698"/>
      <c r="I74" s="735"/>
      <c r="J74" s="698"/>
      <c r="K74" s="698"/>
      <c r="L74" s="698"/>
      <c r="M74" s="699"/>
    </row>
    <row r="75" spans="2:14" ht="6.75" customHeight="1">
      <c r="B75" s="559"/>
      <c r="C75" s="489"/>
      <c r="D75" s="700"/>
      <c r="E75" s="700"/>
      <c r="F75" s="700"/>
      <c r="G75" s="700"/>
      <c r="H75" s="700"/>
      <c r="I75" s="736"/>
      <c r="J75" s="700"/>
      <c r="K75" s="700"/>
      <c r="L75" s="700"/>
      <c r="M75" s="701"/>
    </row>
    <row r="76" spans="2:14">
      <c r="B76" s="537" t="s">
        <v>157</v>
      </c>
      <c r="C76" s="538"/>
      <c r="D76" s="720">
        <f>+HLOOKUP(D$30,Model!$E$7:$BW$223,Model!$A28)/1000</f>
        <v>0</v>
      </c>
      <c r="E76" s="720">
        <f>+HLOOKUP(E$30,Model!$E$7:$BW$223,Model!$A28)/1000</f>
        <v>0</v>
      </c>
      <c r="F76" s="720">
        <f>+HLOOKUP(F$30,Model!$E$7:$BW$223,Model!$A28)/1000</f>
        <v>0</v>
      </c>
      <c r="G76" s="720">
        <f>+HLOOKUP(G$30,Model!$E$7:$BW$223,Model!$A28)/1000</f>
        <v>0</v>
      </c>
      <c r="H76" s="720">
        <f>+HLOOKUP(H$30,Model!$E$7:$BW$223,Model!$A28)/1000</f>
        <v>0</v>
      </c>
      <c r="I76" s="743">
        <f>+HLOOKUP(I$30,Model!$E$7:$BW$223,Model!$A28)/1000</f>
        <v>0</v>
      </c>
      <c r="J76" s="720">
        <f>+HLOOKUP(J$30,Model!$E$7:$BW$223,Model!$A28)/1000</f>
        <v>0</v>
      </c>
      <c r="K76" s="720">
        <f>+HLOOKUP(K$30,Model!$E$7:$BW$223,Model!$A28)/1000</f>
        <v>0</v>
      </c>
      <c r="L76" s="720">
        <f>+H76</f>
        <v>0</v>
      </c>
      <c r="M76" s="721" t="e">
        <f>+HLOOKUP(M$30,Model!$E$7:$BW$223,Model!$A28)/1000</f>
        <v>#DIV/0!</v>
      </c>
    </row>
    <row r="77" spans="2:14">
      <c r="B77" s="537" t="s">
        <v>158</v>
      </c>
      <c r="C77" s="538"/>
      <c r="D77" s="720">
        <f>+HLOOKUP(D$30,Model!$E$7:$BW$229,Model!$A229)/1000</f>
        <v>0</v>
      </c>
      <c r="E77" s="720">
        <f>+HLOOKUP(E$30,Model!$E$7:$BW$229,Model!$A229)/1000</f>
        <v>0</v>
      </c>
      <c r="F77" s="720">
        <f>+HLOOKUP(F$30,Model!$E$7:$BW$229,Model!$A229)/1000</f>
        <v>0</v>
      </c>
      <c r="G77" s="720">
        <f>+HLOOKUP(G$30,Model!$E$7:$BW$229,Model!$A229)/1000</f>
        <v>0</v>
      </c>
      <c r="H77" s="720">
        <f>+HLOOKUP(H$30,Model!$E$7:$BW$229,Model!$A229)/1000</f>
        <v>0</v>
      </c>
      <c r="I77" s="743">
        <f>+HLOOKUP(I$30,Model!$E$7:$BW$229,Model!$A229)/1000</f>
        <v>0</v>
      </c>
      <c r="J77" s="720">
        <f>+HLOOKUP(J$30,Model!$E$7:$BW$229,Model!$A229)/1000</f>
        <v>0</v>
      </c>
      <c r="K77" s="720">
        <f>+HLOOKUP(K$30,Model!$E$7:$BW$229,Model!$A229)/1000</f>
        <v>0</v>
      </c>
      <c r="L77" s="720">
        <f>+H77</f>
        <v>0</v>
      </c>
      <c r="M77" s="721">
        <f>+HLOOKUP(M$30,Model!$E$7:$BW$229,Model!$A229)/1000</f>
        <v>0</v>
      </c>
    </row>
    <row r="78" spans="2:14" s="489" customFormat="1">
      <c r="B78" s="481" t="s">
        <v>159</v>
      </c>
      <c r="C78" s="482"/>
      <c r="D78" s="720">
        <f>+HLOOKUP(D$30,Model!$E$7:$BW$229,Model!$A229)/1000</f>
        <v>0</v>
      </c>
      <c r="E78" s="728">
        <f>+HLOOKUP(E$30,Model!$E$7:$BW$229,Model!$A229)/1000</f>
        <v>0</v>
      </c>
      <c r="F78" s="728">
        <f>+HLOOKUP(F$30,Model!$E$7:$BW$229,Model!$A229)/1000</f>
        <v>0</v>
      </c>
      <c r="G78" s="728">
        <f>+HLOOKUP(G$30,Model!$E$7:$BW$229,Model!$A229)/1000</f>
        <v>0</v>
      </c>
      <c r="H78" s="728">
        <f>+HLOOKUP(H$30,Model!$E$7:$BW$229,Model!$A229)/1000</f>
        <v>0</v>
      </c>
      <c r="I78" s="742">
        <f>+HLOOKUP(I$30,Model!$E$7:$BW$229,Model!$A229)/1000</f>
        <v>0</v>
      </c>
      <c r="J78" s="728">
        <f>+HLOOKUP(J$30,Model!$E$7:$BW$229,Model!$A229)/1000</f>
        <v>0</v>
      </c>
      <c r="K78" s="728">
        <f>+HLOOKUP(K$30,Model!$E$7:$BW$229,Model!$A229)/1000</f>
        <v>0</v>
      </c>
      <c r="L78" s="728">
        <f>+H78</f>
        <v>0</v>
      </c>
      <c r="M78" s="729">
        <f>+HLOOKUP(M$30,Model!$E$7:$BW$229,Model!$A229)/1000</f>
        <v>0</v>
      </c>
    </row>
    <row r="79" spans="2:14">
      <c r="B79" s="537" t="s">
        <v>114</v>
      </c>
      <c r="C79" s="538"/>
      <c r="D79" s="720">
        <f t="shared" ref="D79:J79" si="9">+D78-D76</f>
        <v>0</v>
      </c>
      <c r="E79" s="720">
        <f t="shared" si="9"/>
        <v>0</v>
      </c>
      <c r="F79" s="720">
        <f t="shared" si="9"/>
        <v>0</v>
      </c>
      <c r="G79" s="720">
        <f>+G78-G76</f>
        <v>0</v>
      </c>
      <c r="H79" s="720">
        <f>+H78-H76</f>
        <v>0</v>
      </c>
      <c r="I79" s="743">
        <f t="shared" si="9"/>
        <v>0</v>
      </c>
      <c r="J79" s="720">
        <f t="shared" si="9"/>
        <v>0</v>
      </c>
      <c r="K79" s="720">
        <f>+K78-K76</f>
        <v>0</v>
      </c>
      <c r="L79" s="720">
        <f>+H79</f>
        <v>0</v>
      </c>
      <c r="M79" s="721" t="e">
        <f>+M78-M76</f>
        <v>#DIV/0!</v>
      </c>
    </row>
    <row r="80" spans="2:14">
      <c r="B80" s="559"/>
      <c r="C80" s="489"/>
      <c r="D80" s="700"/>
      <c r="E80" s="741"/>
      <c r="F80" s="741"/>
      <c r="G80" s="741"/>
      <c r="H80" s="700"/>
      <c r="I80" s="736"/>
      <c r="J80" s="700"/>
      <c r="K80" s="700"/>
      <c r="L80" s="700"/>
      <c r="M80" s="701"/>
    </row>
    <row r="81" spans="2:13">
      <c r="B81" s="537" t="s">
        <v>160</v>
      </c>
      <c r="C81" s="538"/>
      <c r="D81" s="702" t="e">
        <f>+D77/(D57*4)</f>
        <v>#DIV/0!</v>
      </c>
      <c r="E81" s="702" t="e">
        <f>+E77/(E57*4)</f>
        <v>#DIV/0!</v>
      </c>
      <c r="F81" s="702" t="e">
        <f>+F77/(F57*4)</f>
        <v>#DIV/0!</v>
      </c>
      <c r="G81" s="702" t="e">
        <f>+G77/(G57*4)</f>
        <v>#DIV/0!</v>
      </c>
      <c r="H81" s="702" t="e">
        <f>+H77/(H57*4)</f>
        <v>#DIV/0!</v>
      </c>
      <c r="I81" s="740" t="e">
        <f>+I77/(I57)</f>
        <v>#DIV/0!</v>
      </c>
      <c r="J81" s="702" t="e">
        <f>+J77/(J57)</f>
        <v>#DIV/0!</v>
      </c>
      <c r="K81" s="702" t="e">
        <f>+K77/(K57)</f>
        <v>#DIV/0!</v>
      </c>
      <c r="L81" s="702" t="e">
        <f>+L77/(L57)</f>
        <v>#DIV/0!</v>
      </c>
      <c r="M81" s="703" t="e">
        <f>+M77/(M57)</f>
        <v>#DIV/0!</v>
      </c>
    </row>
    <row r="82" spans="2:13">
      <c r="B82" s="537" t="s">
        <v>161</v>
      </c>
      <c r="C82" s="538"/>
      <c r="D82" s="702" t="e">
        <f>+D78/(D57*4)</f>
        <v>#DIV/0!</v>
      </c>
      <c r="E82" s="702" t="e">
        <f>+E78/(E57*4)</f>
        <v>#DIV/0!</v>
      </c>
      <c r="F82" s="702" t="e">
        <f>+F78/(F57*4)</f>
        <v>#DIV/0!</v>
      </c>
      <c r="G82" s="702" t="e">
        <f>+G78/(G57*4)</f>
        <v>#DIV/0!</v>
      </c>
      <c r="H82" s="702" t="e">
        <f>+H78/(H57*4)</f>
        <v>#DIV/0!</v>
      </c>
      <c r="I82" s="740" t="e">
        <f>+I78/(I57)</f>
        <v>#DIV/0!</v>
      </c>
      <c r="J82" s="702" t="e">
        <f>+J78/(J57)</f>
        <v>#DIV/0!</v>
      </c>
      <c r="K82" s="702" t="e">
        <f>+K78/(K57)</f>
        <v>#DIV/0!</v>
      </c>
      <c r="L82" s="702" t="e">
        <f>+L78/(L57)</f>
        <v>#DIV/0!</v>
      </c>
      <c r="M82" s="703" t="e">
        <f>+M78/(M57)</f>
        <v>#DIV/0!</v>
      </c>
    </row>
    <row r="83" spans="2:13">
      <c r="B83" s="537" t="s">
        <v>162</v>
      </c>
      <c r="C83" s="538"/>
      <c r="D83" s="702" t="e">
        <f>+D79/(D57*4)</f>
        <v>#DIV/0!</v>
      </c>
      <c r="E83" s="702" t="e">
        <f>+E79/(E57*4)</f>
        <v>#DIV/0!</v>
      </c>
      <c r="F83" s="702" t="e">
        <f>+F79/(F57*4)</f>
        <v>#DIV/0!</v>
      </c>
      <c r="G83" s="702" t="e">
        <f>+G79/(G57*4)</f>
        <v>#DIV/0!</v>
      </c>
      <c r="H83" s="702" t="e">
        <f>+H79/(H57*4)</f>
        <v>#DIV/0!</v>
      </c>
      <c r="I83" s="740" t="e">
        <f>+I79/(I57)</f>
        <v>#DIV/0!</v>
      </c>
      <c r="J83" s="702" t="e">
        <f>+J79/(J57)</f>
        <v>#DIV/0!</v>
      </c>
      <c r="K83" s="702" t="e">
        <f>+K79/(K57)</f>
        <v>#DIV/0!</v>
      </c>
      <c r="L83" s="702" t="e">
        <f>+L79/(L57)</f>
        <v>#DIV/0!</v>
      </c>
      <c r="M83" s="703" t="e">
        <f>+M79/(M57)</f>
        <v>#DIV/0!</v>
      </c>
    </row>
    <row r="84" spans="2:13" ht="6" customHeight="1">
      <c r="B84" s="573"/>
      <c r="C84" s="452"/>
      <c r="D84" s="452"/>
      <c r="E84" s="452"/>
      <c r="F84" s="452"/>
      <c r="G84" s="452"/>
      <c r="H84" s="553"/>
      <c r="I84" s="452"/>
      <c r="J84" s="452"/>
      <c r="K84" s="452"/>
      <c r="L84" s="452"/>
      <c r="M84" s="553"/>
    </row>
    <row r="87" spans="2:13">
      <c r="H87" s="574"/>
    </row>
  </sheetData>
  <printOptions horizontalCentered="1"/>
  <pageMargins left="0.25" right="0.25" top="0.75" bottom="0.75" header="0.3" footer="0.3"/>
  <pageSetup scale="59" orientation="portrait" r:id="rId1"/>
  <headerFooter alignWithMargins="0"/>
  <colBreaks count="1" manualBreakCount="1">
    <brk id="13"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53B0-694B-490D-9E77-15CEE37727CB}">
  <dimension ref="A1:BT1828"/>
  <sheetViews>
    <sheetView showGridLines="0" tabSelected="1" zoomScale="90" zoomScaleNormal="90" workbookViewId="0">
      <pane xSplit="4" ySplit="6" topLeftCell="E111" activePane="bottomRight" state="frozen"/>
      <selection pane="topRight" activeCell="B110" sqref="B110"/>
      <selection pane="bottomLeft" activeCell="B110" sqref="B110"/>
      <selection pane="bottomRight" activeCell="F90" sqref="F90"/>
    </sheetView>
  </sheetViews>
  <sheetFormatPr baseColWidth="10" defaultColWidth="11.796875" defaultRowHeight="15" customHeight="1" outlineLevelRow="1" outlineLevelCol="1"/>
  <cols>
    <col min="1" max="1" width="6.796875" style="674" bestFit="1" customWidth="1"/>
    <col min="2" max="2" width="11.796875" style="176" customWidth="1"/>
    <col min="3" max="3" width="19.3984375" style="176" customWidth="1"/>
    <col min="4" max="4" width="9.3984375" style="176" customWidth="1"/>
    <col min="5" max="5" width="12.19921875" style="204" bestFit="1" customWidth="1"/>
    <col min="6" max="7" width="12.59765625" style="204" bestFit="1" customWidth="1"/>
    <col min="8" max="8" width="11.59765625" style="28" hidden="1" customWidth="1" outlineLevel="1"/>
    <col min="9" max="10" width="12.19921875" style="28" hidden="1" customWidth="1" outlineLevel="1"/>
    <col min="11" max="11" width="12.59765625" style="204" hidden="1" customWidth="1" outlineLevel="1"/>
    <col min="12" max="12" width="12.59765625" style="204" bestFit="1" customWidth="1" collapsed="1"/>
    <col min="13" max="13" width="11.59765625" style="28" hidden="1" customWidth="1" outlineLevel="1"/>
    <col min="14" max="15" width="12.19921875" style="28" hidden="1" customWidth="1" outlineLevel="1"/>
    <col min="16" max="16" width="12.59765625" style="204" hidden="1" customWidth="1" outlineLevel="1"/>
    <col min="17" max="17" width="12.59765625" style="204" bestFit="1" customWidth="1" collapsed="1"/>
    <col min="18" max="18" width="11.59765625" style="28" hidden="1" customWidth="1" outlineLevel="1"/>
    <col min="19" max="20" width="12.19921875" style="204" hidden="1" customWidth="1" outlineLevel="1"/>
    <col min="21" max="21" width="12.59765625" style="204" hidden="1" customWidth="1" outlineLevel="1"/>
    <col min="22" max="22" width="12.59765625" style="204" bestFit="1" customWidth="1" collapsed="1"/>
    <col min="23" max="23" width="11.59765625" style="204" hidden="1" customWidth="1" outlineLevel="1"/>
    <col min="24" max="25" width="12.19921875" style="204" hidden="1" customWidth="1" outlineLevel="1"/>
    <col min="26" max="26" width="12.59765625" style="204" hidden="1" customWidth="1" outlineLevel="1"/>
    <col min="27" max="27" width="12.59765625" style="204" bestFit="1" customWidth="1" collapsed="1"/>
    <col min="28" max="28" width="11.59765625" style="204" hidden="1" customWidth="1" outlineLevel="1"/>
    <col min="29" max="30" width="12.19921875" style="204" hidden="1" customWidth="1" outlineLevel="1"/>
    <col min="31" max="31" width="12.59765625" style="204" hidden="1" customWidth="1" outlineLevel="1"/>
    <col min="32" max="32" width="12.59765625" style="204" bestFit="1" customWidth="1" collapsed="1"/>
    <col min="33" max="33" width="11.59765625" style="204" hidden="1" customWidth="1" outlineLevel="1"/>
    <col min="34" max="35" width="12.19921875" style="204" hidden="1" customWidth="1" outlineLevel="1"/>
    <col min="36" max="36" width="12.59765625" style="204" hidden="1" customWidth="1" outlineLevel="1"/>
    <col min="37" max="37" width="12.59765625" style="204" bestFit="1" customWidth="1" collapsed="1"/>
    <col min="38" max="38" width="11.3984375" style="204" hidden="1" customWidth="1" outlineLevel="1"/>
    <col min="39" max="40" width="11.59765625" style="204" hidden="1" customWidth="1" outlineLevel="1"/>
    <col min="41" max="41" width="12.19921875" style="204" hidden="1" customWidth="1" outlineLevel="1"/>
    <col min="42" max="42" width="12.19921875" style="204" bestFit="1" customWidth="1" collapsed="1"/>
    <col min="43" max="43" width="10.796875" style="204" hidden="1" customWidth="1" outlineLevel="1"/>
    <col min="44" max="45" width="11.3984375" style="204" hidden="1" customWidth="1" outlineLevel="1"/>
    <col min="46" max="46" width="11.59765625" style="204" hidden="1" customWidth="1" outlineLevel="1"/>
    <col min="47" max="47" width="11.59765625" style="204" bestFit="1" customWidth="1" collapsed="1"/>
    <col min="48" max="48" width="11.3984375" style="204" hidden="1" customWidth="1" outlineLevel="1"/>
    <col min="49" max="50" width="11.59765625" style="204" hidden="1" customWidth="1" outlineLevel="1"/>
    <col min="51" max="51" width="12.19921875" style="204" hidden="1" customWidth="1" outlineLevel="1"/>
    <col min="52" max="52" width="12.19921875" style="204" bestFit="1" customWidth="1" collapsed="1"/>
    <col min="53" max="53" width="11.3984375" style="204" hidden="1" customWidth="1" outlineLevel="1"/>
    <col min="54" max="55" width="11.59765625" style="204" hidden="1" customWidth="1" outlineLevel="1"/>
    <col min="56" max="56" width="12.19921875" style="204" hidden="1" customWidth="1" outlineLevel="1"/>
    <col min="57" max="57" width="12.19921875" style="204" bestFit="1" customWidth="1" collapsed="1"/>
    <col min="58" max="58" width="11.3984375" style="204" customWidth="1" outlineLevel="1"/>
    <col min="59" max="60" width="11.59765625" style="204" customWidth="1" outlineLevel="1"/>
    <col min="61" max="61" width="12.19921875" style="204" customWidth="1" outlineLevel="1"/>
    <col min="62" max="62" width="12.19921875" style="204" bestFit="1" customWidth="1"/>
    <col min="63" max="63" width="11.3984375" style="204" customWidth="1" outlineLevel="1"/>
    <col min="64" max="65" width="11.59765625" style="204" customWidth="1" outlineLevel="1"/>
    <col min="66" max="66" width="15.3984375" style="390" customWidth="1" outlineLevel="1"/>
    <col min="67" max="67" width="15.3984375" style="390" bestFit="1" customWidth="1"/>
    <col min="68" max="68" width="14.3984375" style="390" hidden="1" customWidth="1" outlineLevel="1"/>
    <col min="69" max="70" width="14.796875" style="390" hidden="1" customWidth="1" outlineLevel="1"/>
    <col min="71" max="71" width="15.3984375" style="390" hidden="1" customWidth="1" outlineLevel="1"/>
    <col min="72" max="72" width="15.3984375" style="390" bestFit="1" customWidth="1" collapsed="1"/>
    <col min="73" max="16384" width="11.796875" style="176"/>
  </cols>
  <sheetData>
    <row r="1" spans="1:72" s="4" customFormat="1" ht="25">
      <c r="A1" s="671"/>
      <c r="B1" s="5"/>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354"/>
      <c r="BO1" s="354"/>
      <c r="BP1" s="354"/>
      <c r="BQ1" s="354"/>
      <c r="BR1" s="354"/>
      <c r="BS1" s="354"/>
      <c r="BT1" s="354"/>
    </row>
    <row r="2" spans="1:72" s="173" customFormat="1" ht="23">
      <c r="A2" s="672"/>
      <c r="B2" s="231" t="str">
        <f>+'Summary Pg'!B1</f>
        <v>Name of Company</v>
      </c>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74"/>
      <c r="AG2" s="143"/>
      <c r="AH2" s="143"/>
      <c r="AI2" s="143"/>
      <c r="AJ2" s="143"/>
      <c r="AK2" s="174"/>
      <c r="AL2" s="143"/>
      <c r="AM2" s="143"/>
      <c r="AN2" s="143"/>
      <c r="AO2" s="143"/>
      <c r="AP2" s="174"/>
      <c r="AQ2" s="143"/>
      <c r="AR2" s="143"/>
      <c r="AS2" s="143"/>
      <c r="AT2" s="143"/>
      <c r="AU2" s="174"/>
      <c r="AV2" s="143"/>
      <c r="AW2" s="143"/>
      <c r="AX2" s="143"/>
      <c r="AY2" s="143"/>
      <c r="AZ2" s="174"/>
      <c r="BA2" s="143"/>
      <c r="BB2" s="143"/>
      <c r="BC2" s="143"/>
      <c r="BD2" s="143"/>
      <c r="BE2" s="174"/>
      <c r="BF2" s="143"/>
      <c r="BG2" s="143"/>
      <c r="BH2" s="143"/>
      <c r="BI2" s="143"/>
      <c r="BJ2" s="174"/>
      <c r="BK2" s="143"/>
      <c r="BL2" s="143"/>
      <c r="BM2" s="143"/>
      <c r="BN2" s="355"/>
      <c r="BO2" s="355"/>
      <c r="BP2" s="356"/>
      <c r="BQ2" s="355"/>
      <c r="BR2" s="355"/>
      <c r="BS2" s="355"/>
      <c r="BT2" s="355"/>
    </row>
    <row r="3" spans="1:72" s="7" customFormat="1" ht="13.5" customHeight="1">
      <c r="A3" s="673"/>
      <c r="B3" s="108" t="s">
        <v>163</v>
      </c>
      <c r="C3" s="144"/>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8"/>
      <c r="AG3" s="144"/>
      <c r="AH3" s="144"/>
      <c r="AI3" s="144"/>
      <c r="AJ3" s="144"/>
      <c r="AK3" s="8"/>
      <c r="AL3" s="144"/>
      <c r="AM3" s="144"/>
      <c r="AN3" s="144"/>
      <c r="AO3" s="144"/>
      <c r="AP3" s="8"/>
      <c r="AQ3" s="144"/>
      <c r="AR3" s="144"/>
      <c r="AS3" s="144"/>
      <c r="AT3" s="144"/>
      <c r="AU3" s="8"/>
      <c r="AV3" s="144"/>
      <c r="AW3" s="144"/>
      <c r="AX3" s="144"/>
      <c r="AY3" s="144"/>
      <c r="AZ3" s="8"/>
      <c r="BA3" s="144"/>
      <c r="BB3" s="144"/>
      <c r="BC3" s="144"/>
      <c r="BD3" s="144"/>
      <c r="BE3" s="8"/>
      <c r="BF3" s="144"/>
      <c r="BG3" s="144"/>
      <c r="BH3" s="144"/>
      <c r="BI3" s="144"/>
      <c r="BJ3" s="8"/>
      <c r="BK3" s="144"/>
      <c r="BL3" s="144"/>
      <c r="BM3" s="144"/>
      <c r="BN3" s="357"/>
      <c r="BO3" s="357"/>
      <c r="BP3" s="358"/>
      <c r="BQ3" s="357"/>
      <c r="BR3" s="357"/>
      <c r="BS3" s="357"/>
      <c r="BT3" s="357"/>
    </row>
    <row r="4" spans="1:72" s="7" customFormat="1" ht="16">
      <c r="A4" s="673"/>
      <c r="B4" s="175"/>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8"/>
      <c r="AG4" s="144"/>
      <c r="AH4" s="144"/>
      <c r="AI4" s="144"/>
      <c r="AJ4" s="144"/>
      <c r="AK4" s="8"/>
      <c r="AL4" s="144"/>
      <c r="AM4" s="144"/>
      <c r="AN4" s="144"/>
      <c r="AO4" s="144"/>
      <c r="AP4" s="8"/>
      <c r="AQ4" s="144"/>
      <c r="AR4" s="144"/>
      <c r="AS4" s="144"/>
      <c r="AT4" s="144"/>
      <c r="AU4" s="8"/>
      <c r="AV4" s="144"/>
      <c r="AW4" s="144"/>
      <c r="AX4" s="144"/>
      <c r="AY4" s="144"/>
      <c r="AZ4" s="8"/>
      <c r="BA4" s="144"/>
      <c r="BB4" s="144"/>
      <c r="BC4" s="144"/>
      <c r="BD4" s="144"/>
      <c r="BE4" s="8"/>
      <c r="BF4" s="144"/>
      <c r="BG4" s="144"/>
      <c r="BH4" s="144"/>
      <c r="BI4" s="144"/>
      <c r="BJ4" s="8"/>
      <c r="BK4" s="144"/>
      <c r="BL4" s="144"/>
      <c r="BM4" s="144"/>
      <c r="BN4" s="357"/>
      <c r="BO4" s="357"/>
      <c r="BP4" s="358"/>
      <c r="BQ4" s="357"/>
      <c r="BR4" s="357"/>
      <c r="BS4" s="357"/>
      <c r="BT4" s="357"/>
    </row>
    <row r="5" spans="1:72" s="177" customFormat="1" ht="13">
      <c r="A5" s="675"/>
      <c r="B5" s="178"/>
      <c r="D5" s="178"/>
      <c r="E5" s="253" t="s">
        <v>134</v>
      </c>
      <c r="F5" s="253" t="s">
        <v>134</v>
      </c>
      <c r="G5" s="253" t="s">
        <v>134</v>
      </c>
      <c r="H5" s="634">
        <v>1</v>
      </c>
      <c r="I5" s="634">
        <v>2</v>
      </c>
      <c r="J5" s="634">
        <v>3</v>
      </c>
      <c r="K5" s="634">
        <v>4</v>
      </c>
      <c r="L5" s="253" t="s">
        <v>134</v>
      </c>
      <c r="M5" s="634">
        <v>1</v>
      </c>
      <c r="N5" s="634">
        <v>2</v>
      </c>
      <c r="O5" s="634">
        <v>3</v>
      </c>
      <c r="P5" s="634">
        <v>4</v>
      </c>
      <c r="Q5" s="253" t="s">
        <v>134</v>
      </c>
      <c r="R5" s="634">
        <v>1</v>
      </c>
      <c r="S5" s="634">
        <v>2</v>
      </c>
      <c r="T5" s="634">
        <v>3</v>
      </c>
      <c r="U5" s="634">
        <v>4</v>
      </c>
      <c r="V5" s="253" t="s">
        <v>134</v>
      </c>
      <c r="W5" s="634">
        <v>1</v>
      </c>
      <c r="X5" s="634">
        <v>2</v>
      </c>
      <c r="Y5" s="634">
        <v>3</v>
      </c>
      <c r="Z5" s="634">
        <v>4</v>
      </c>
      <c r="AA5" s="253" t="s">
        <v>134</v>
      </c>
      <c r="AB5" s="634">
        <v>1</v>
      </c>
      <c r="AC5" s="634">
        <v>2</v>
      </c>
      <c r="AD5" s="634">
        <v>3</v>
      </c>
      <c r="AE5" s="634">
        <v>4</v>
      </c>
      <c r="AF5" s="253" t="s">
        <v>134</v>
      </c>
      <c r="AG5" s="634">
        <v>1</v>
      </c>
      <c r="AH5" s="634">
        <v>2</v>
      </c>
      <c r="AI5" s="634">
        <v>3</v>
      </c>
      <c r="AJ5" s="634">
        <v>4</v>
      </c>
      <c r="AK5" s="253" t="s">
        <v>134</v>
      </c>
      <c r="AL5" s="634">
        <v>1</v>
      </c>
      <c r="AM5" s="634">
        <v>2</v>
      </c>
      <c r="AN5" s="634">
        <v>3</v>
      </c>
      <c r="AO5" s="634">
        <v>4</v>
      </c>
      <c r="AP5" s="253" t="s">
        <v>134</v>
      </c>
      <c r="AQ5" s="634">
        <v>1</v>
      </c>
      <c r="AR5" s="634">
        <v>2</v>
      </c>
      <c r="AS5" s="634">
        <v>3</v>
      </c>
      <c r="AT5" s="634">
        <v>4</v>
      </c>
      <c r="AU5" s="253" t="s">
        <v>134</v>
      </c>
      <c r="AV5" s="634">
        <v>1</v>
      </c>
      <c r="AW5" s="634">
        <v>2</v>
      </c>
      <c r="AX5" s="634">
        <v>3</v>
      </c>
      <c r="AY5" s="634">
        <v>4</v>
      </c>
      <c r="AZ5" s="253" t="s">
        <v>134</v>
      </c>
      <c r="BA5" s="634">
        <v>1</v>
      </c>
      <c r="BB5" s="634">
        <v>2</v>
      </c>
      <c r="BC5" s="634">
        <v>3</v>
      </c>
      <c r="BD5" s="634">
        <v>4</v>
      </c>
      <c r="BE5" s="253" t="s">
        <v>134</v>
      </c>
      <c r="BF5" s="634">
        <v>1</v>
      </c>
      <c r="BG5" s="634">
        <v>2</v>
      </c>
      <c r="BH5" s="634">
        <v>3</v>
      </c>
      <c r="BI5" s="634">
        <v>4</v>
      </c>
      <c r="BJ5" s="253" t="s">
        <v>134</v>
      </c>
      <c r="BK5" s="634">
        <v>1</v>
      </c>
      <c r="BL5" s="634">
        <v>2</v>
      </c>
      <c r="BM5" s="634">
        <v>3</v>
      </c>
      <c r="BN5" s="635">
        <v>4</v>
      </c>
      <c r="BO5" s="361" t="s">
        <v>134</v>
      </c>
      <c r="BP5" s="635">
        <v>2</v>
      </c>
      <c r="BQ5" s="635">
        <v>2</v>
      </c>
      <c r="BR5" s="635">
        <v>2</v>
      </c>
      <c r="BS5" s="635">
        <v>2</v>
      </c>
      <c r="BT5" s="361" t="s">
        <v>134</v>
      </c>
    </row>
    <row r="6" spans="1:72" s="179" customFormat="1" ht="13">
      <c r="A6" s="674"/>
      <c r="B6" s="166" t="s">
        <v>164</v>
      </c>
      <c r="E6" s="639">
        <v>37256</v>
      </c>
      <c r="F6" s="639">
        <f>EOMONTH(E6,12)</f>
        <v>37621</v>
      </c>
      <c r="G6" s="639">
        <f>EOMONTH(F6,12)</f>
        <v>37986</v>
      </c>
      <c r="H6" s="123">
        <f>EOMONTH(G6,3)</f>
        <v>38077</v>
      </c>
      <c r="I6" s="123">
        <f>EOMONTH(H6,3)</f>
        <v>38168</v>
      </c>
      <c r="J6" s="123">
        <f>EOMONTH(I6,3)</f>
        <v>38260</v>
      </c>
      <c r="K6" s="123">
        <f>EOMONTH(J6,3)</f>
        <v>38352</v>
      </c>
      <c r="L6" s="639">
        <f>EOMONTH(G6,12)</f>
        <v>38352</v>
      </c>
      <c r="M6" s="123">
        <f>EOMONTH(L6,3)</f>
        <v>38442</v>
      </c>
      <c r="N6" s="123">
        <f>EOMONTH(M6,3)</f>
        <v>38533</v>
      </c>
      <c r="O6" s="123">
        <f>EOMONTH(N6,3)</f>
        <v>38625</v>
      </c>
      <c r="P6" s="123">
        <f>EOMONTH(O6,3)</f>
        <v>38717</v>
      </c>
      <c r="Q6" s="639">
        <f>EOMONTH(L6,12)</f>
        <v>38717</v>
      </c>
      <c r="R6" s="123">
        <f>EOMONTH(Q6,3)</f>
        <v>38807</v>
      </c>
      <c r="S6" s="123">
        <f>EOMONTH(R6,3)</f>
        <v>38898</v>
      </c>
      <c r="T6" s="123">
        <f>EOMONTH(S6,3)</f>
        <v>38990</v>
      </c>
      <c r="U6" s="123">
        <f>EOMONTH(T6,3)</f>
        <v>39082</v>
      </c>
      <c r="V6" s="639">
        <f>EOMONTH(Q6,12)</f>
        <v>39082</v>
      </c>
      <c r="W6" s="123">
        <f>EOMONTH(V6,3)</f>
        <v>39172</v>
      </c>
      <c r="X6" s="123">
        <f>EOMONTH(W6,3)</f>
        <v>39263</v>
      </c>
      <c r="Y6" s="123">
        <f>EOMONTH(X6,3)</f>
        <v>39355</v>
      </c>
      <c r="Z6" s="123">
        <f>EOMONTH(Y6,3)</f>
        <v>39447</v>
      </c>
      <c r="AA6" s="639">
        <f>+Z6</f>
        <v>39447</v>
      </c>
      <c r="AB6" s="123">
        <f>EOMONTH(AA6,3)</f>
        <v>39538</v>
      </c>
      <c r="AC6" s="123">
        <f>EOMONTH(AB6,3)</f>
        <v>39629</v>
      </c>
      <c r="AD6" s="123">
        <f>EOMONTH(AC6,3)</f>
        <v>39721</v>
      </c>
      <c r="AE6" s="123">
        <f>EOMONTH(AD6,3)</f>
        <v>39813</v>
      </c>
      <c r="AF6" s="639">
        <f>+AE6</f>
        <v>39813</v>
      </c>
      <c r="AG6" s="123">
        <f>EOMONTH(AF6,3)</f>
        <v>39903</v>
      </c>
      <c r="AH6" s="123">
        <f>EOMONTH(AG6,3)</f>
        <v>39994</v>
      </c>
      <c r="AI6" s="123">
        <f>EOMONTH(AH6,3)</f>
        <v>40086</v>
      </c>
      <c r="AJ6" s="123">
        <f>EOMONTH(AI6,3)</f>
        <v>40178</v>
      </c>
      <c r="AK6" s="639">
        <f>+AJ6</f>
        <v>40178</v>
      </c>
      <c r="AL6" s="123">
        <f>EOMONTH(AK6,3)</f>
        <v>40268</v>
      </c>
      <c r="AM6" s="123">
        <f>EOMONTH(AL6,3)</f>
        <v>40359</v>
      </c>
      <c r="AN6" s="123">
        <f>EOMONTH(AM6,3)</f>
        <v>40451</v>
      </c>
      <c r="AO6" s="123">
        <f>EOMONTH(AN6,3)</f>
        <v>40543</v>
      </c>
      <c r="AP6" s="639">
        <f>+AO6</f>
        <v>40543</v>
      </c>
      <c r="AQ6" s="123">
        <f>EOMONTH(AP6,3)</f>
        <v>40633</v>
      </c>
      <c r="AR6" s="123">
        <f>EOMONTH(AQ6,3)</f>
        <v>40724</v>
      </c>
      <c r="AS6" s="123">
        <f>EOMONTH(AR6,3)</f>
        <v>40816</v>
      </c>
      <c r="AT6" s="123">
        <f>EOMONTH(AS6,3)</f>
        <v>40908</v>
      </c>
      <c r="AU6" s="639">
        <f>+AT6</f>
        <v>40908</v>
      </c>
      <c r="AV6" s="123">
        <f>EOMONTH(AU6,3)</f>
        <v>40999</v>
      </c>
      <c r="AW6" s="123">
        <f>EOMONTH(AV6,3)</f>
        <v>41090</v>
      </c>
      <c r="AX6" s="123">
        <f>EOMONTH(AW6,3)</f>
        <v>41182</v>
      </c>
      <c r="AY6" s="123">
        <f>EOMONTH(AX6,3)</f>
        <v>41274</v>
      </c>
      <c r="AZ6" s="639">
        <f>+AY6</f>
        <v>41274</v>
      </c>
      <c r="BA6" s="123">
        <f>EOMONTH(AZ6,3)</f>
        <v>41364</v>
      </c>
      <c r="BB6" s="123">
        <f>EOMONTH(BA6,3)</f>
        <v>41455</v>
      </c>
      <c r="BC6" s="123">
        <f>EOMONTH(BB6,3)</f>
        <v>41547</v>
      </c>
      <c r="BD6" s="123">
        <f>EOMONTH(BC6,3)</f>
        <v>41639</v>
      </c>
      <c r="BE6" s="639">
        <f>+BD6</f>
        <v>41639</v>
      </c>
      <c r="BF6" s="123">
        <f>EOMONTH(BE6,3)</f>
        <v>41729</v>
      </c>
      <c r="BG6" s="123">
        <f>EOMONTH(BF6,3)</f>
        <v>41820</v>
      </c>
      <c r="BH6" s="123">
        <f>EOMONTH(BG6,3)</f>
        <v>41912</v>
      </c>
      <c r="BI6" s="123">
        <f>EOMONTH(BH6,3)</f>
        <v>42004</v>
      </c>
      <c r="BJ6" s="639">
        <f>+BI6</f>
        <v>42004</v>
      </c>
      <c r="BK6" s="123">
        <f>EOMONTH(BJ6,3)</f>
        <v>42094</v>
      </c>
      <c r="BL6" s="123">
        <f>EOMONTH(BK6,3)</f>
        <v>42185</v>
      </c>
      <c r="BM6" s="123">
        <f>EOMONTH(BL6,3)</f>
        <v>42277</v>
      </c>
      <c r="BN6" s="362">
        <f>EOMONTH(BM6,3)</f>
        <v>42369</v>
      </c>
      <c r="BO6" s="363">
        <f>+BN6</f>
        <v>42369</v>
      </c>
      <c r="BP6" s="362">
        <f>EOMONTH(BO6,3)</f>
        <v>42460</v>
      </c>
      <c r="BQ6" s="362">
        <f>EOMONTH(BP6,3)</f>
        <v>42551</v>
      </c>
      <c r="BR6" s="362">
        <f>EOMONTH(BQ6,3)</f>
        <v>42643</v>
      </c>
      <c r="BS6" s="362">
        <f>EOMONTH(BR6,3)</f>
        <v>42735</v>
      </c>
      <c r="BT6" s="363">
        <f>+BS6</f>
        <v>42735</v>
      </c>
    </row>
    <row r="7" spans="1:72" s="179" customFormat="1" ht="13">
      <c r="A7" s="676">
        <v>1</v>
      </c>
      <c r="B7" s="166"/>
      <c r="E7" s="437">
        <f>+E6</f>
        <v>37256</v>
      </c>
      <c r="F7" s="437">
        <f>+F6</f>
        <v>37621</v>
      </c>
      <c r="G7" s="437">
        <f>+G6</f>
        <v>37986</v>
      </c>
      <c r="H7" s="439" t="str">
        <f>(TEXT(H6,"yy "))&amp;"Q"&amp;H5</f>
        <v>04 Q1</v>
      </c>
      <c r="I7" s="439" t="str">
        <f>(TEXT(I6,"yy "))&amp;"Q"&amp;I5</f>
        <v>04 Q2</v>
      </c>
      <c r="J7" s="439" t="str">
        <f>(TEXT(J6,"yy "))&amp;"Q"&amp;J5</f>
        <v>04 Q3</v>
      </c>
      <c r="K7" s="439" t="str">
        <f>(TEXT(K6,"yy "))&amp;"Q"&amp;K5</f>
        <v>04 Q4</v>
      </c>
      <c r="L7" s="437">
        <f>+L6</f>
        <v>38352</v>
      </c>
      <c r="M7" s="439" t="str">
        <f>(TEXT(M6,"yy "))&amp;"Q"&amp;M5</f>
        <v>05 Q1</v>
      </c>
      <c r="N7" s="439" t="str">
        <f>(TEXT(N6,"yy "))&amp;"Q"&amp;N5</f>
        <v>05 Q2</v>
      </c>
      <c r="O7" s="439" t="str">
        <f>(TEXT(O6,"yy "))&amp;"Q"&amp;O5</f>
        <v>05 Q3</v>
      </c>
      <c r="P7" s="439" t="str">
        <f>(TEXT(P6,"yy "))&amp;"Q"&amp;P5</f>
        <v>05 Q4</v>
      </c>
      <c r="Q7" s="437">
        <f>+Q6</f>
        <v>38717</v>
      </c>
      <c r="R7" s="439" t="str">
        <f>(TEXT(R6,"yy "))&amp;"Q"&amp;R5</f>
        <v>06 Q1</v>
      </c>
      <c r="S7" s="439" t="str">
        <f>(TEXT(S6,"yy "))&amp;"Q"&amp;S5</f>
        <v>06 Q2</v>
      </c>
      <c r="T7" s="439" t="str">
        <f>(TEXT(T6,"yy "))&amp;"Q"&amp;T5</f>
        <v>06 Q3</v>
      </c>
      <c r="U7" s="439" t="str">
        <f>(TEXT(U6,"yy "))&amp;"Q"&amp;U5</f>
        <v>06 Q4</v>
      </c>
      <c r="V7" s="437">
        <f>+V6</f>
        <v>39082</v>
      </c>
      <c r="W7" s="439" t="str">
        <f>(TEXT(W6,"yy "))&amp;"Q"&amp;W5</f>
        <v>07 Q1</v>
      </c>
      <c r="X7" s="439" t="str">
        <f>(TEXT(X6,"yy "))&amp;"Q"&amp;X5</f>
        <v>07 Q2</v>
      </c>
      <c r="Y7" s="439" t="str">
        <f>(TEXT(Y6,"yy "))&amp;"Q"&amp;Y5</f>
        <v>07 Q3</v>
      </c>
      <c r="Z7" s="439" t="str">
        <f>(TEXT(Z6,"yy "))&amp;"Q"&amp;Z5</f>
        <v>07 Q4</v>
      </c>
      <c r="AA7" s="437">
        <f>+AA6</f>
        <v>39447</v>
      </c>
      <c r="AB7" s="439" t="str">
        <f>(TEXT(AB6,"yy "))&amp;"Q"&amp;AB5</f>
        <v>08 Q1</v>
      </c>
      <c r="AC7" s="439" t="str">
        <f>(TEXT(AC6,"yy "))&amp;"Q"&amp;AC5</f>
        <v>08 Q2</v>
      </c>
      <c r="AD7" s="439" t="str">
        <f>(TEXT(AD6,"yy "))&amp;"Q"&amp;AD5</f>
        <v>08 Q3</v>
      </c>
      <c r="AE7" s="439" t="str">
        <f>(TEXT(AE6,"yy "))&amp;"Q"&amp;AE5</f>
        <v>08 Q4</v>
      </c>
      <c r="AF7" s="437">
        <f>+AF6</f>
        <v>39813</v>
      </c>
      <c r="AG7" s="439" t="str">
        <f>(TEXT(AG6,"yy "))&amp;"Q"&amp;AG5</f>
        <v>09 Q1</v>
      </c>
      <c r="AH7" s="439" t="str">
        <f>(TEXT(AH6,"yy "))&amp;"Q"&amp;AH5</f>
        <v>09 Q2</v>
      </c>
      <c r="AI7" s="439" t="str">
        <f>(TEXT(AI6,"yy "))&amp;"Q"&amp;AI5</f>
        <v>09 Q3</v>
      </c>
      <c r="AJ7" s="439" t="str">
        <f>(TEXT(AJ6,"yy "))&amp;"Q"&amp;AJ5</f>
        <v>09 Q4</v>
      </c>
      <c r="AK7" s="437">
        <f>+AK6</f>
        <v>40178</v>
      </c>
      <c r="AL7" s="439" t="str">
        <f>(TEXT(AL6,"yy "))&amp;"Q"&amp;AL5</f>
        <v>10 Q1</v>
      </c>
      <c r="AM7" s="439" t="str">
        <f>(TEXT(AM6,"yy "))&amp;"Q"&amp;AM5</f>
        <v>10 Q2</v>
      </c>
      <c r="AN7" s="439" t="str">
        <f>(TEXT(AN6,"yy "))&amp;"Q"&amp;AN5</f>
        <v>10 Q3</v>
      </c>
      <c r="AO7" s="439" t="str">
        <f>(TEXT(AO6,"yy "))&amp;"Q"&amp;AO5</f>
        <v>10 Q4</v>
      </c>
      <c r="AP7" s="437">
        <f>+AP6</f>
        <v>40543</v>
      </c>
      <c r="AQ7" s="439" t="str">
        <f>(TEXT(AQ6,"yy "))&amp;"Q"&amp;AQ5</f>
        <v>11 Q1</v>
      </c>
      <c r="AR7" s="439" t="str">
        <f>(TEXT(AR6,"yy "))&amp;"Q"&amp;AR5</f>
        <v>11 Q2</v>
      </c>
      <c r="AS7" s="439" t="str">
        <f>(TEXT(AS6,"yy "))&amp;"Q"&amp;AS5</f>
        <v>11 Q3</v>
      </c>
      <c r="AT7" s="439" t="str">
        <f>(TEXT(AT6,"yy "))&amp;"Q"&amp;AT5</f>
        <v>11 Q4</v>
      </c>
      <c r="AU7" s="437">
        <f>+AU6</f>
        <v>40908</v>
      </c>
      <c r="AV7" s="439" t="str">
        <f>(TEXT(AV6,"yy "))&amp;"Q"&amp;AV5</f>
        <v>12 Q1</v>
      </c>
      <c r="AW7" s="439" t="str">
        <f>(TEXT(AW6,"yy "))&amp;"Q"&amp;AW5</f>
        <v>12 Q2</v>
      </c>
      <c r="AX7" s="439" t="str">
        <f>(TEXT(AX6,"yy "))&amp;"Q"&amp;AX5</f>
        <v>12 Q3</v>
      </c>
      <c r="AY7" s="439" t="str">
        <f>(TEXT(AY6,"yy "))&amp;"Q"&amp;AY5</f>
        <v>12 Q4</v>
      </c>
      <c r="AZ7" s="437">
        <f>+AZ6</f>
        <v>41274</v>
      </c>
      <c r="BA7" s="439" t="str">
        <f>(TEXT(BA6,"yy "))&amp;"Q"&amp;BA5</f>
        <v>13 Q1</v>
      </c>
      <c r="BB7" s="439" t="str">
        <f>(TEXT(BB6,"yy "))&amp;"Q"&amp;BB5</f>
        <v>13 Q2</v>
      </c>
      <c r="BC7" s="439" t="str">
        <f>(TEXT(BC6,"yy "))&amp;"Q"&amp;BC5</f>
        <v>13 Q3</v>
      </c>
      <c r="BD7" s="439" t="str">
        <f>(TEXT(BD6,"yy "))&amp;"Q"&amp;BD5</f>
        <v>13 Q4</v>
      </c>
      <c r="BE7" s="437">
        <f>+BE6</f>
        <v>41639</v>
      </c>
      <c r="BF7" s="439" t="str">
        <f>(TEXT(BF6,"yy "))&amp;"Q"&amp;BF5</f>
        <v>14 Q1</v>
      </c>
      <c r="BG7" s="439" t="str">
        <f>(TEXT(BG6,"yy "))&amp;"Q"&amp;BG5</f>
        <v>14 Q2</v>
      </c>
      <c r="BH7" s="439" t="str">
        <f>(TEXT(BH6,"yy "))&amp;"Q"&amp;BH5</f>
        <v>14 Q3</v>
      </c>
      <c r="BI7" s="439" t="str">
        <f>(TEXT(BI6,"yy "))&amp;"Q"&amp;BI5</f>
        <v>14 Q4</v>
      </c>
      <c r="BJ7" s="437">
        <f>+BJ6</f>
        <v>42004</v>
      </c>
      <c r="BK7" s="439" t="str">
        <f>(TEXT(BK6,"yy "))&amp;"Q"&amp;BK5</f>
        <v>15 Q1</v>
      </c>
      <c r="BL7" s="439" t="str">
        <f>(TEXT(BL6,"yy "))&amp;"Q"&amp;BL5</f>
        <v>15 Q2</v>
      </c>
      <c r="BM7" s="439" t="str">
        <f>(TEXT(BM6,"yy "))&amp;"Q"&amp;BM5</f>
        <v>15 Q3</v>
      </c>
      <c r="BN7" s="440" t="str">
        <f>(TEXT(BN6,"yy "))&amp;"Q"&amp;BN5</f>
        <v>15 Q4</v>
      </c>
      <c r="BO7" s="441">
        <f>+BO6</f>
        <v>42369</v>
      </c>
      <c r="BP7" s="440" t="str">
        <f>(TEXT(BP6,"yy "))&amp;"Q"&amp;BP5</f>
        <v>16 Q2</v>
      </c>
      <c r="BQ7" s="440" t="str">
        <f>(TEXT(BQ6,"yy "))&amp;"Q"&amp;BQ5</f>
        <v>16 Q2</v>
      </c>
      <c r="BR7" s="440" t="str">
        <f>(TEXT(BR6,"yy "))&amp;"Q"&amp;BR5</f>
        <v>16 Q2</v>
      </c>
      <c r="BS7" s="440" t="str">
        <f>(TEXT(BS6,"yy "))&amp;"Q"&amp;BS5</f>
        <v>16 Q2</v>
      </c>
      <c r="BT7" s="441">
        <f>+BT6</f>
        <v>42735</v>
      </c>
    </row>
    <row r="8" spans="1:72" s="180" customFormat="1" ht="13">
      <c r="A8" s="676">
        <f>+A7+1</f>
        <v>2</v>
      </c>
      <c r="B8" s="181" t="s">
        <v>165</v>
      </c>
      <c r="E8" s="239">
        <f t="shared" ref="E8:AG9" si="0">E59</f>
        <v>0</v>
      </c>
      <c r="F8" s="239">
        <f t="shared" si="0"/>
        <v>0</v>
      </c>
      <c r="G8" s="239">
        <f t="shared" si="0"/>
        <v>0</v>
      </c>
      <c r="H8" s="44">
        <f t="shared" si="0"/>
        <v>0</v>
      </c>
      <c r="I8" s="44">
        <f t="shared" si="0"/>
        <v>0</v>
      </c>
      <c r="J8" s="44">
        <f t="shared" si="0"/>
        <v>0</v>
      </c>
      <c r="K8" s="44">
        <f t="shared" si="0"/>
        <v>0</v>
      </c>
      <c r="L8" s="239">
        <f t="shared" si="0"/>
        <v>0</v>
      </c>
      <c r="M8" s="44">
        <f t="shared" si="0"/>
        <v>0</v>
      </c>
      <c r="N8" s="44">
        <f t="shared" si="0"/>
        <v>0</v>
      </c>
      <c r="O8" s="44">
        <f t="shared" si="0"/>
        <v>0</v>
      </c>
      <c r="P8" s="44">
        <f t="shared" si="0"/>
        <v>0</v>
      </c>
      <c r="Q8" s="239">
        <f t="shared" si="0"/>
        <v>0</v>
      </c>
      <c r="R8" s="44">
        <f t="shared" si="0"/>
        <v>0</v>
      </c>
      <c r="S8" s="44">
        <f t="shared" si="0"/>
        <v>0</v>
      </c>
      <c r="T8" s="44">
        <f t="shared" si="0"/>
        <v>0</v>
      </c>
      <c r="U8" s="44">
        <f t="shared" si="0"/>
        <v>0</v>
      </c>
      <c r="V8" s="239">
        <f t="shared" si="0"/>
        <v>0</v>
      </c>
      <c r="W8" s="44">
        <f t="shared" si="0"/>
        <v>0</v>
      </c>
      <c r="X8" s="44">
        <f t="shared" ref="X8:AB9" si="1">X59</f>
        <v>0</v>
      </c>
      <c r="Y8" s="44">
        <f t="shared" si="1"/>
        <v>0</v>
      </c>
      <c r="Z8" s="44">
        <f t="shared" si="1"/>
        <v>0</v>
      </c>
      <c r="AA8" s="239">
        <f t="shared" si="1"/>
        <v>0</v>
      </c>
      <c r="AB8" s="44">
        <f t="shared" si="1"/>
        <v>0</v>
      </c>
      <c r="AC8" s="44">
        <f t="shared" ref="AC8:AE9" si="2">AC59</f>
        <v>0</v>
      </c>
      <c r="AD8" s="44">
        <f t="shared" si="2"/>
        <v>0</v>
      </c>
      <c r="AE8" s="44">
        <f t="shared" si="2"/>
        <v>0</v>
      </c>
      <c r="AF8" s="239">
        <f t="shared" si="0"/>
        <v>0</v>
      </c>
      <c r="AG8" s="44">
        <f t="shared" si="0"/>
        <v>0</v>
      </c>
      <c r="AH8" s="44">
        <f>AH59</f>
        <v>0</v>
      </c>
      <c r="AI8" s="44">
        <f>AI59</f>
        <v>0</v>
      </c>
      <c r="AJ8" s="44">
        <f t="shared" ref="AJ8:AL9" si="3">AJ59</f>
        <v>0</v>
      </c>
      <c r="AK8" s="239">
        <f t="shared" si="3"/>
        <v>0</v>
      </c>
      <c r="AL8" s="44">
        <f t="shared" si="3"/>
        <v>0</v>
      </c>
      <c r="AM8" s="44">
        <f>AM59</f>
        <v>0</v>
      </c>
      <c r="AN8" s="44">
        <f>AN59</f>
        <v>0</v>
      </c>
      <c r="AO8" s="44">
        <f t="shared" ref="AO8:AQ9" si="4">AO59</f>
        <v>0</v>
      </c>
      <c r="AP8" s="239">
        <f t="shared" si="4"/>
        <v>0</v>
      </c>
      <c r="AQ8" s="44">
        <f t="shared" si="4"/>
        <v>0</v>
      </c>
      <c r="AR8" s="44">
        <f t="shared" ref="AR8:AW9" si="5">AR59</f>
        <v>0</v>
      </c>
      <c r="AS8" s="44">
        <f t="shared" si="5"/>
        <v>0</v>
      </c>
      <c r="AT8" s="44">
        <f t="shared" si="5"/>
        <v>0</v>
      </c>
      <c r="AU8" s="239">
        <f t="shared" si="5"/>
        <v>0</v>
      </c>
      <c r="AV8" s="44">
        <f t="shared" si="5"/>
        <v>0</v>
      </c>
      <c r="AW8" s="44">
        <f t="shared" si="5"/>
        <v>0</v>
      </c>
      <c r="AX8" s="44">
        <f t="shared" ref="AX8:BB9" si="6">AX59</f>
        <v>0</v>
      </c>
      <c r="AY8" s="44">
        <f t="shared" si="6"/>
        <v>0</v>
      </c>
      <c r="AZ8" s="239">
        <f t="shared" si="6"/>
        <v>0</v>
      </c>
      <c r="BA8" s="44">
        <f t="shared" si="6"/>
        <v>0</v>
      </c>
      <c r="BB8" s="44">
        <f t="shared" si="6"/>
        <v>0</v>
      </c>
      <c r="BC8" s="44">
        <f t="shared" ref="BC8:BG9" si="7">BC59</f>
        <v>0</v>
      </c>
      <c r="BD8" s="44">
        <f t="shared" si="7"/>
        <v>0</v>
      </c>
      <c r="BE8" s="239">
        <f t="shared" si="7"/>
        <v>0</v>
      </c>
      <c r="BF8" s="44">
        <f t="shared" si="7"/>
        <v>0</v>
      </c>
      <c r="BG8" s="44">
        <f t="shared" si="7"/>
        <v>0</v>
      </c>
      <c r="BH8" s="44">
        <f t="shared" ref="BH8:BL9" si="8">BH59</f>
        <v>0</v>
      </c>
      <c r="BI8" s="44">
        <f t="shared" si="8"/>
        <v>0</v>
      </c>
      <c r="BJ8" s="239">
        <f t="shared" si="8"/>
        <v>0</v>
      </c>
      <c r="BK8" s="44">
        <f t="shared" si="8"/>
        <v>0</v>
      </c>
      <c r="BL8" s="44">
        <f t="shared" si="8"/>
        <v>0</v>
      </c>
      <c r="BM8" s="44">
        <f>BM59</f>
        <v>0</v>
      </c>
      <c r="BN8" s="371">
        <f t="shared" ref="BN8:BO9" si="9">BN59</f>
        <v>0</v>
      </c>
      <c r="BO8" s="372">
        <f t="shared" si="9"/>
        <v>0</v>
      </c>
      <c r="BP8" s="371">
        <f t="shared" ref="BP8:BT9" si="10">BP59</f>
        <v>0</v>
      </c>
      <c r="BQ8" s="371">
        <f t="shared" si="10"/>
        <v>0</v>
      </c>
      <c r="BR8" s="371">
        <f t="shared" si="10"/>
        <v>0</v>
      </c>
      <c r="BS8" s="371">
        <f t="shared" si="10"/>
        <v>0</v>
      </c>
      <c r="BT8" s="372">
        <f t="shared" si="10"/>
        <v>0</v>
      </c>
    </row>
    <row r="9" spans="1:72" s="182" customFormat="1" ht="13">
      <c r="A9" s="676">
        <f t="shared" ref="A9:A72" si="11">+A8+1</f>
        <v>3</v>
      </c>
      <c r="B9" s="234" t="s">
        <v>166</v>
      </c>
      <c r="D9" s="184"/>
      <c r="E9" s="186"/>
      <c r="F9" s="186" t="e">
        <f t="shared" si="0"/>
        <v>#DIV/0!</v>
      </c>
      <c r="G9" s="186" t="e">
        <f t="shared" si="0"/>
        <v>#DIV/0!</v>
      </c>
      <c r="H9" s="32"/>
      <c r="I9" s="32"/>
      <c r="J9" s="32"/>
      <c r="K9" s="32"/>
      <c r="L9" s="186" t="e">
        <f t="shared" si="0"/>
        <v>#DIV/0!</v>
      </c>
      <c r="M9" s="32" t="e">
        <f t="shared" si="0"/>
        <v>#DIV/0!</v>
      </c>
      <c r="N9" s="32" t="e">
        <f t="shared" si="0"/>
        <v>#DIV/0!</v>
      </c>
      <c r="O9" s="32" t="e">
        <f t="shared" si="0"/>
        <v>#DIV/0!</v>
      </c>
      <c r="P9" s="32" t="e">
        <f t="shared" si="0"/>
        <v>#DIV/0!</v>
      </c>
      <c r="Q9" s="186" t="e">
        <f t="shared" si="0"/>
        <v>#DIV/0!</v>
      </c>
      <c r="R9" s="32" t="e">
        <f t="shared" si="0"/>
        <v>#DIV/0!</v>
      </c>
      <c r="S9" s="32" t="e">
        <f t="shared" si="0"/>
        <v>#DIV/0!</v>
      </c>
      <c r="T9" s="32" t="e">
        <f t="shared" si="0"/>
        <v>#DIV/0!</v>
      </c>
      <c r="U9" s="32" t="e">
        <f t="shared" si="0"/>
        <v>#DIV/0!</v>
      </c>
      <c r="V9" s="186" t="e">
        <f t="shared" si="0"/>
        <v>#DIV/0!</v>
      </c>
      <c r="W9" s="32" t="e">
        <f t="shared" si="0"/>
        <v>#DIV/0!</v>
      </c>
      <c r="X9" s="32" t="e">
        <f t="shared" si="1"/>
        <v>#DIV/0!</v>
      </c>
      <c r="Y9" s="32" t="e">
        <f t="shared" si="1"/>
        <v>#DIV/0!</v>
      </c>
      <c r="Z9" s="32" t="e">
        <f t="shared" si="1"/>
        <v>#DIV/0!</v>
      </c>
      <c r="AA9" s="186" t="e">
        <f t="shared" si="1"/>
        <v>#DIV/0!</v>
      </c>
      <c r="AB9" s="32" t="e">
        <f t="shared" si="1"/>
        <v>#DIV/0!</v>
      </c>
      <c r="AC9" s="32" t="e">
        <f t="shared" si="2"/>
        <v>#DIV/0!</v>
      </c>
      <c r="AD9" s="32" t="e">
        <f t="shared" si="2"/>
        <v>#DIV/0!</v>
      </c>
      <c r="AE9" s="32" t="e">
        <f t="shared" si="2"/>
        <v>#DIV/0!</v>
      </c>
      <c r="AF9" s="186" t="e">
        <f t="shared" si="0"/>
        <v>#DIV/0!</v>
      </c>
      <c r="AG9" s="32" t="e">
        <f t="shared" si="0"/>
        <v>#DIV/0!</v>
      </c>
      <c r="AH9" s="32" t="e">
        <f>AH60</f>
        <v>#DIV/0!</v>
      </c>
      <c r="AI9" s="32" t="e">
        <f>AI60</f>
        <v>#DIV/0!</v>
      </c>
      <c r="AJ9" s="32" t="e">
        <f t="shared" si="3"/>
        <v>#DIV/0!</v>
      </c>
      <c r="AK9" s="186" t="e">
        <f t="shared" si="3"/>
        <v>#DIV/0!</v>
      </c>
      <c r="AL9" s="32" t="e">
        <f t="shared" si="3"/>
        <v>#DIV/0!</v>
      </c>
      <c r="AM9" s="32" t="e">
        <f>AM60</f>
        <v>#DIV/0!</v>
      </c>
      <c r="AN9" s="32" t="e">
        <f>AN60</f>
        <v>#DIV/0!</v>
      </c>
      <c r="AO9" s="32" t="e">
        <f t="shared" si="4"/>
        <v>#DIV/0!</v>
      </c>
      <c r="AP9" s="186" t="e">
        <f t="shared" si="4"/>
        <v>#DIV/0!</v>
      </c>
      <c r="AQ9" s="32" t="e">
        <f t="shared" si="4"/>
        <v>#DIV/0!</v>
      </c>
      <c r="AR9" s="32" t="e">
        <f t="shared" si="5"/>
        <v>#DIV/0!</v>
      </c>
      <c r="AS9" s="32" t="e">
        <f t="shared" si="5"/>
        <v>#DIV/0!</v>
      </c>
      <c r="AT9" s="32" t="e">
        <f t="shared" si="5"/>
        <v>#DIV/0!</v>
      </c>
      <c r="AU9" s="186" t="e">
        <f t="shared" si="5"/>
        <v>#DIV/0!</v>
      </c>
      <c r="AV9" s="32" t="e">
        <f t="shared" si="5"/>
        <v>#DIV/0!</v>
      </c>
      <c r="AW9" s="32" t="e">
        <f t="shared" si="5"/>
        <v>#DIV/0!</v>
      </c>
      <c r="AX9" s="32" t="e">
        <f t="shared" si="6"/>
        <v>#DIV/0!</v>
      </c>
      <c r="AY9" s="32" t="e">
        <f t="shared" si="6"/>
        <v>#DIV/0!</v>
      </c>
      <c r="AZ9" s="186" t="e">
        <f t="shared" si="6"/>
        <v>#DIV/0!</v>
      </c>
      <c r="BA9" s="32" t="e">
        <f t="shared" si="6"/>
        <v>#DIV/0!</v>
      </c>
      <c r="BB9" s="32" t="e">
        <f t="shared" si="6"/>
        <v>#DIV/0!</v>
      </c>
      <c r="BC9" s="32" t="e">
        <f t="shared" si="7"/>
        <v>#DIV/0!</v>
      </c>
      <c r="BD9" s="32" t="e">
        <f t="shared" si="7"/>
        <v>#DIV/0!</v>
      </c>
      <c r="BE9" s="186" t="e">
        <f t="shared" si="7"/>
        <v>#DIV/0!</v>
      </c>
      <c r="BF9" s="32" t="e">
        <f t="shared" si="7"/>
        <v>#DIV/0!</v>
      </c>
      <c r="BG9" s="32" t="e">
        <f t="shared" si="7"/>
        <v>#DIV/0!</v>
      </c>
      <c r="BH9" s="32" t="e">
        <f t="shared" si="8"/>
        <v>#DIV/0!</v>
      </c>
      <c r="BI9" s="32" t="e">
        <f t="shared" si="8"/>
        <v>#DIV/0!</v>
      </c>
      <c r="BJ9" s="186" t="e">
        <f t="shared" si="8"/>
        <v>#DIV/0!</v>
      </c>
      <c r="BK9" s="32" t="e">
        <f t="shared" si="8"/>
        <v>#DIV/0!</v>
      </c>
      <c r="BL9" s="32" t="e">
        <f t="shared" si="8"/>
        <v>#DIV/0!</v>
      </c>
      <c r="BM9" s="32" t="e">
        <f>BM60</f>
        <v>#DIV/0!</v>
      </c>
      <c r="BN9" s="364">
        <f t="shared" si="9"/>
        <v>0</v>
      </c>
      <c r="BO9" s="365" t="e">
        <f t="shared" si="9"/>
        <v>#DIV/0!</v>
      </c>
      <c r="BP9" s="364">
        <f t="shared" si="10"/>
        <v>0</v>
      </c>
      <c r="BQ9" s="364">
        <f t="shared" si="10"/>
        <v>0</v>
      </c>
      <c r="BR9" s="364">
        <f t="shared" si="10"/>
        <v>0</v>
      </c>
      <c r="BS9" s="364">
        <f t="shared" si="10"/>
        <v>0</v>
      </c>
      <c r="BT9" s="365" t="e">
        <f t="shared" si="10"/>
        <v>#DIV/0!</v>
      </c>
    </row>
    <row r="10" spans="1:72" s="182" customFormat="1" ht="13">
      <c r="A10" s="676">
        <f t="shared" si="11"/>
        <v>4</v>
      </c>
      <c r="E10" s="236"/>
      <c r="F10" s="236"/>
      <c r="G10" s="236"/>
      <c r="H10" s="235"/>
      <c r="I10" s="235"/>
      <c r="J10" s="235"/>
      <c r="K10" s="235"/>
      <c r="L10" s="236"/>
      <c r="M10" s="235"/>
      <c r="N10" s="235"/>
      <c r="O10" s="235"/>
      <c r="P10" s="235"/>
      <c r="Q10" s="236"/>
      <c r="R10" s="235"/>
      <c r="S10" s="235"/>
      <c r="T10" s="235"/>
      <c r="U10" s="235"/>
      <c r="V10" s="236"/>
      <c r="W10" s="235"/>
      <c r="X10" s="235"/>
      <c r="Y10" s="235"/>
      <c r="Z10" s="235"/>
      <c r="AA10" s="236"/>
      <c r="AB10" s="235"/>
      <c r="AC10" s="235"/>
      <c r="AD10" s="235"/>
      <c r="AE10" s="235"/>
      <c r="AF10" s="236"/>
      <c r="AG10" s="235"/>
      <c r="AH10" s="235"/>
      <c r="AI10" s="235"/>
      <c r="AJ10" s="235"/>
      <c r="AK10" s="236"/>
      <c r="AL10" s="235"/>
      <c r="AM10" s="235"/>
      <c r="AN10" s="235"/>
      <c r="AO10" s="235"/>
      <c r="AP10" s="236"/>
      <c r="AQ10" s="235"/>
      <c r="AR10" s="235"/>
      <c r="AS10" s="235"/>
      <c r="AT10" s="235"/>
      <c r="AU10" s="236"/>
      <c r="AV10" s="235"/>
      <c r="AW10" s="235"/>
      <c r="AX10" s="235"/>
      <c r="AY10" s="235"/>
      <c r="AZ10" s="236"/>
      <c r="BA10" s="235"/>
      <c r="BB10" s="235"/>
      <c r="BC10" s="235"/>
      <c r="BD10" s="235"/>
      <c r="BE10" s="236"/>
      <c r="BF10" s="235"/>
      <c r="BG10" s="235"/>
      <c r="BH10" s="235"/>
      <c r="BI10" s="235"/>
      <c r="BJ10" s="236"/>
      <c r="BK10" s="235"/>
      <c r="BL10" s="235"/>
      <c r="BM10" s="235"/>
      <c r="BN10" s="366"/>
      <c r="BO10" s="367"/>
      <c r="BP10" s="366"/>
      <c r="BQ10" s="366"/>
      <c r="BR10" s="366"/>
      <c r="BS10" s="366"/>
      <c r="BT10" s="367"/>
    </row>
    <row r="11" spans="1:72" s="182" customFormat="1" ht="13">
      <c r="A11" s="676">
        <f t="shared" si="11"/>
        <v>5</v>
      </c>
      <c r="B11" s="183" t="s">
        <v>167</v>
      </c>
      <c r="D11" s="187"/>
      <c r="E11" s="237">
        <f t="shared" ref="E11:AJ11" si="12">E67</f>
        <v>0</v>
      </c>
      <c r="F11" s="237">
        <f t="shared" si="12"/>
        <v>0</v>
      </c>
      <c r="G11" s="237">
        <f t="shared" si="12"/>
        <v>0</v>
      </c>
      <c r="H11" s="40">
        <f t="shared" si="12"/>
        <v>0</v>
      </c>
      <c r="I11" s="40">
        <f t="shared" si="12"/>
        <v>0</v>
      </c>
      <c r="J11" s="40">
        <f t="shared" si="12"/>
        <v>0</v>
      </c>
      <c r="K11" s="40">
        <f t="shared" si="12"/>
        <v>0</v>
      </c>
      <c r="L11" s="237">
        <f t="shared" si="12"/>
        <v>0</v>
      </c>
      <c r="M11" s="40">
        <f t="shared" si="12"/>
        <v>0</v>
      </c>
      <c r="N11" s="40">
        <f t="shared" si="12"/>
        <v>0</v>
      </c>
      <c r="O11" s="40">
        <f t="shared" si="12"/>
        <v>0</v>
      </c>
      <c r="P11" s="40">
        <f t="shared" si="12"/>
        <v>0</v>
      </c>
      <c r="Q11" s="237">
        <f t="shared" si="12"/>
        <v>0</v>
      </c>
      <c r="R11" s="40">
        <f t="shared" si="12"/>
        <v>0</v>
      </c>
      <c r="S11" s="40">
        <f t="shared" si="12"/>
        <v>0</v>
      </c>
      <c r="T11" s="40">
        <f t="shared" si="12"/>
        <v>0</v>
      </c>
      <c r="U11" s="40">
        <f t="shared" si="12"/>
        <v>0</v>
      </c>
      <c r="V11" s="237">
        <f t="shared" si="12"/>
        <v>0</v>
      </c>
      <c r="W11" s="40">
        <f t="shared" si="12"/>
        <v>0</v>
      </c>
      <c r="X11" s="40">
        <f t="shared" ref="X11:AD11" si="13">X67</f>
        <v>0</v>
      </c>
      <c r="Y11" s="40">
        <f t="shared" si="13"/>
        <v>0</v>
      </c>
      <c r="Z11" s="40">
        <f t="shared" si="13"/>
        <v>0</v>
      </c>
      <c r="AA11" s="237">
        <f t="shared" si="13"/>
        <v>0</v>
      </c>
      <c r="AB11" s="40">
        <f t="shared" si="13"/>
        <v>0</v>
      </c>
      <c r="AC11" s="40">
        <f t="shared" si="13"/>
        <v>0</v>
      </c>
      <c r="AD11" s="40">
        <f t="shared" si="13"/>
        <v>0</v>
      </c>
      <c r="AE11" s="40">
        <f>AE67</f>
        <v>0</v>
      </c>
      <c r="AF11" s="237">
        <f t="shared" si="12"/>
        <v>0</v>
      </c>
      <c r="AG11" s="40">
        <f t="shared" si="12"/>
        <v>0</v>
      </c>
      <c r="AH11" s="40">
        <f t="shared" si="12"/>
        <v>0</v>
      </c>
      <c r="AI11" s="40">
        <f t="shared" si="12"/>
        <v>0</v>
      </c>
      <c r="AJ11" s="40">
        <f t="shared" si="12"/>
        <v>0</v>
      </c>
      <c r="AK11" s="237">
        <f t="shared" ref="AK11:AP11" si="14">AK67</f>
        <v>0</v>
      </c>
      <c r="AL11" s="40">
        <f t="shared" si="14"/>
        <v>0</v>
      </c>
      <c r="AM11" s="40">
        <f t="shared" si="14"/>
        <v>0</v>
      </c>
      <c r="AN11" s="40">
        <f t="shared" si="14"/>
        <v>0</v>
      </c>
      <c r="AO11" s="40">
        <f t="shared" si="14"/>
        <v>0</v>
      </c>
      <c r="AP11" s="237">
        <f t="shared" si="14"/>
        <v>0</v>
      </c>
      <c r="AQ11" s="40">
        <f>AQ67</f>
        <v>0</v>
      </c>
      <c r="AR11" s="40">
        <f>AR67</f>
        <v>0</v>
      </c>
      <c r="AS11" s="40">
        <f>AS67</f>
        <v>0</v>
      </c>
      <c r="AT11" s="40">
        <f>AT67</f>
        <v>0</v>
      </c>
      <c r="AU11" s="237">
        <f>AU67</f>
        <v>0</v>
      </c>
      <c r="AV11" s="40">
        <f t="shared" ref="AV11:BA11" si="15">AV67</f>
        <v>0</v>
      </c>
      <c r="AW11" s="40">
        <f t="shared" si="15"/>
        <v>0</v>
      </c>
      <c r="AX11" s="40">
        <f t="shared" si="15"/>
        <v>0</v>
      </c>
      <c r="AY11" s="40">
        <f t="shared" si="15"/>
        <v>0</v>
      </c>
      <c r="AZ11" s="237">
        <f t="shared" si="15"/>
        <v>0</v>
      </c>
      <c r="BA11" s="40">
        <f t="shared" si="15"/>
        <v>0</v>
      </c>
      <c r="BB11" s="40">
        <f t="shared" ref="BB11:BG11" si="16">BB67</f>
        <v>0</v>
      </c>
      <c r="BC11" s="40">
        <f t="shared" si="16"/>
        <v>0</v>
      </c>
      <c r="BD11" s="40">
        <f t="shared" si="16"/>
        <v>0</v>
      </c>
      <c r="BE11" s="237">
        <f t="shared" si="16"/>
        <v>0</v>
      </c>
      <c r="BF11" s="40">
        <f t="shared" si="16"/>
        <v>0</v>
      </c>
      <c r="BG11" s="40">
        <f t="shared" si="16"/>
        <v>0</v>
      </c>
      <c r="BH11" s="40">
        <f t="shared" ref="BH11:BT11" si="17">BH67</f>
        <v>0</v>
      </c>
      <c r="BI11" s="40">
        <f t="shared" si="17"/>
        <v>0</v>
      </c>
      <c r="BJ11" s="237">
        <f t="shared" si="17"/>
        <v>0</v>
      </c>
      <c r="BK11" s="40">
        <f t="shared" si="17"/>
        <v>0</v>
      </c>
      <c r="BL11" s="40">
        <f t="shared" si="17"/>
        <v>0</v>
      </c>
      <c r="BM11" s="40">
        <f>BM67</f>
        <v>0</v>
      </c>
      <c r="BN11" s="368">
        <f t="shared" si="17"/>
        <v>0</v>
      </c>
      <c r="BO11" s="369">
        <f t="shared" si="17"/>
        <v>0</v>
      </c>
      <c r="BP11" s="368">
        <f t="shared" si="17"/>
        <v>0</v>
      </c>
      <c r="BQ11" s="368">
        <f t="shared" si="17"/>
        <v>0</v>
      </c>
      <c r="BR11" s="368">
        <f t="shared" si="17"/>
        <v>0</v>
      </c>
      <c r="BS11" s="368">
        <f t="shared" si="17"/>
        <v>0</v>
      </c>
      <c r="BT11" s="369">
        <f t="shared" si="17"/>
        <v>0</v>
      </c>
    </row>
    <row r="12" spans="1:72" s="182" customFormat="1" ht="13">
      <c r="A12" s="676">
        <f t="shared" si="11"/>
        <v>6</v>
      </c>
      <c r="B12" s="234" t="s">
        <v>168</v>
      </c>
      <c r="D12" s="184"/>
      <c r="E12" s="186" t="e">
        <f t="shared" ref="E12:AB12" si="18">E11/E8</f>
        <v>#DIV/0!</v>
      </c>
      <c r="F12" s="186" t="e">
        <f t="shared" si="18"/>
        <v>#DIV/0!</v>
      </c>
      <c r="G12" s="186" t="e">
        <f t="shared" si="18"/>
        <v>#DIV/0!</v>
      </c>
      <c r="H12" s="32" t="e">
        <f t="shared" si="18"/>
        <v>#DIV/0!</v>
      </c>
      <c r="I12" s="32" t="e">
        <f t="shared" si="18"/>
        <v>#DIV/0!</v>
      </c>
      <c r="J12" s="32" t="e">
        <f t="shared" si="18"/>
        <v>#DIV/0!</v>
      </c>
      <c r="K12" s="32" t="e">
        <f t="shared" si="18"/>
        <v>#DIV/0!</v>
      </c>
      <c r="L12" s="186" t="e">
        <f t="shared" si="18"/>
        <v>#DIV/0!</v>
      </c>
      <c r="M12" s="32" t="e">
        <f t="shared" si="18"/>
        <v>#DIV/0!</v>
      </c>
      <c r="N12" s="32" t="e">
        <f t="shared" si="18"/>
        <v>#DIV/0!</v>
      </c>
      <c r="O12" s="32" t="e">
        <f t="shared" si="18"/>
        <v>#DIV/0!</v>
      </c>
      <c r="P12" s="32" t="e">
        <f t="shared" si="18"/>
        <v>#DIV/0!</v>
      </c>
      <c r="Q12" s="186" t="e">
        <f t="shared" si="18"/>
        <v>#DIV/0!</v>
      </c>
      <c r="R12" s="32" t="e">
        <f t="shared" si="18"/>
        <v>#DIV/0!</v>
      </c>
      <c r="S12" s="32" t="e">
        <f t="shared" si="18"/>
        <v>#DIV/0!</v>
      </c>
      <c r="T12" s="32" t="e">
        <f t="shared" si="18"/>
        <v>#DIV/0!</v>
      </c>
      <c r="U12" s="32" t="e">
        <f t="shared" si="18"/>
        <v>#DIV/0!</v>
      </c>
      <c r="V12" s="186" t="e">
        <f t="shared" si="18"/>
        <v>#DIV/0!</v>
      </c>
      <c r="W12" s="32" t="e">
        <f t="shared" si="18"/>
        <v>#DIV/0!</v>
      </c>
      <c r="X12" s="32" t="e">
        <f>X11/X8</f>
        <v>#DIV/0!</v>
      </c>
      <c r="Y12" s="32" t="e">
        <f>Y11/Y8</f>
        <v>#DIV/0!</v>
      </c>
      <c r="Z12" s="32" t="e">
        <f t="shared" si="18"/>
        <v>#DIV/0!</v>
      </c>
      <c r="AA12" s="186" t="e">
        <f t="shared" si="18"/>
        <v>#DIV/0!</v>
      </c>
      <c r="AB12" s="32" t="e">
        <f t="shared" si="18"/>
        <v>#DIV/0!</v>
      </c>
      <c r="AC12" s="32" t="e">
        <f t="shared" ref="AC12:AQ12" si="19">AC11/AC8</f>
        <v>#DIV/0!</v>
      </c>
      <c r="AD12" s="32" t="e">
        <f t="shared" si="19"/>
        <v>#DIV/0!</v>
      </c>
      <c r="AE12" s="32" t="e">
        <f t="shared" si="19"/>
        <v>#DIV/0!</v>
      </c>
      <c r="AF12" s="186" t="e">
        <f t="shared" si="19"/>
        <v>#DIV/0!</v>
      </c>
      <c r="AG12" s="32" t="e">
        <f t="shared" si="19"/>
        <v>#DIV/0!</v>
      </c>
      <c r="AH12" s="32" t="e">
        <f t="shared" si="19"/>
        <v>#DIV/0!</v>
      </c>
      <c r="AI12" s="32" t="e">
        <f t="shared" si="19"/>
        <v>#DIV/0!</v>
      </c>
      <c r="AJ12" s="32" t="e">
        <f t="shared" si="19"/>
        <v>#DIV/0!</v>
      </c>
      <c r="AK12" s="186" t="e">
        <f t="shared" si="19"/>
        <v>#DIV/0!</v>
      </c>
      <c r="AL12" s="32" t="e">
        <f t="shared" si="19"/>
        <v>#DIV/0!</v>
      </c>
      <c r="AM12" s="32" t="e">
        <f t="shared" si="19"/>
        <v>#DIV/0!</v>
      </c>
      <c r="AN12" s="32" t="e">
        <f t="shared" si="19"/>
        <v>#DIV/0!</v>
      </c>
      <c r="AO12" s="32" t="e">
        <f t="shared" si="19"/>
        <v>#DIV/0!</v>
      </c>
      <c r="AP12" s="186" t="e">
        <f t="shared" si="19"/>
        <v>#DIV/0!</v>
      </c>
      <c r="AQ12" s="32" t="e">
        <f t="shared" si="19"/>
        <v>#DIV/0!</v>
      </c>
      <c r="AR12" s="32" t="e">
        <f t="shared" ref="AR12:AW12" si="20">AR11/AR8</f>
        <v>#DIV/0!</v>
      </c>
      <c r="AS12" s="32" t="e">
        <f t="shared" si="20"/>
        <v>#DIV/0!</v>
      </c>
      <c r="AT12" s="32" t="e">
        <f t="shared" si="20"/>
        <v>#DIV/0!</v>
      </c>
      <c r="AU12" s="186" t="e">
        <f t="shared" si="20"/>
        <v>#DIV/0!</v>
      </c>
      <c r="AV12" s="32" t="e">
        <f t="shared" si="20"/>
        <v>#DIV/0!</v>
      </c>
      <c r="AW12" s="32" t="e">
        <f t="shared" si="20"/>
        <v>#DIV/0!</v>
      </c>
      <c r="AX12" s="32" t="e">
        <f t="shared" ref="AX12:BG12" si="21">AX11/AX8</f>
        <v>#DIV/0!</v>
      </c>
      <c r="AY12" s="32" t="e">
        <f t="shared" si="21"/>
        <v>#DIV/0!</v>
      </c>
      <c r="AZ12" s="186" t="e">
        <f t="shared" si="21"/>
        <v>#DIV/0!</v>
      </c>
      <c r="BA12" s="32" t="e">
        <f t="shared" si="21"/>
        <v>#DIV/0!</v>
      </c>
      <c r="BB12" s="32" t="e">
        <f t="shared" si="21"/>
        <v>#DIV/0!</v>
      </c>
      <c r="BC12" s="32" t="e">
        <f t="shared" si="21"/>
        <v>#DIV/0!</v>
      </c>
      <c r="BD12" s="32" t="e">
        <f t="shared" si="21"/>
        <v>#DIV/0!</v>
      </c>
      <c r="BE12" s="186" t="e">
        <f t="shared" si="21"/>
        <v>#DIV/0!</v>
      </c>
      <c r="BF12" s="32" t="e">
        <f t="shared" si="21"/>
        <v>#DIV/0!</v>
      </c>
      <c r="BG12" s="32" t="e">
        <f t="shared" si="21"/>
        <v>#DIV/0!</v>
      </c>
      <c r="BH12" s="32" t="e">
        <f t="shared" ref="BH12:BT12" si="22">BH11/BH8</f>
        <v>#DIV/0!</v>
      </c>
      <c r="BI12" s="32" t="e">
        <f t="shared" si="22"/>
        <v>#DIV/0!</v>
      </c>
      <c r="BJ12" s="186" t="e">
        <f t="shared" si="22"/>
        <v>#DIV/0!</v>
      </c>
      <c r="BK12" s="32" t="e">
        <f t="shared" si="22"/>
        <v>#DIV/0!</v>
      </c>
      <c r="BL12" s="32" t="e">
        <f t="shared" si="22"/>
        <v>#DIV/0!</v>
      </c>
      <c r="BM12" s="32" t="e">
        <f>BM11/BM8</f>
        <v>#DIV/0!</v>
      </c>
      <c r="BN12" s="364" t="e">
        <f t="shared" si="22"/>
        <v>#DIV/0!</v>
      </c>
      <c r="BO12" s="365" t="e">
        <f t="shared" si="22"/>
        <v>#DIV/0!</v>
      </c>
      <c r="BP12" s="364" t="e">
        <f t="shared" si="22"/>
        <v>#DIV/0!</v>
      </c>
      <c r="BQ12" s="364" t="e">
        <f t="shared" si="22"/>
        <v>#DIV/0!</v>
      </c>
      <c r="BR12" s="364" t="e">
        <f t="shared" si="22"/>
        <v>#DIV/0!</v>
      </c>
      <c r="BS12" s="364" t="e">
        <f t="shared" si="22"/>
        <v>#DIV/0!</v>
      </c>
      <c r="BT12" s="365" t="e">
        <f t="shared" si="22"/>
        <v>#DIV/0!</v>
      </c>
    </row>
    <row r="13" spans="1:72" s="182" customFormat="1" ht="13">
      <c r="A13" s="676">
        <f t="shared" si="11"/>
        <v>7</v>
      </c>
      <c r="E13" s="238"/>
      <c r="F13" s="238"/>
      <c r="G13" s="238"/>
      <c r="H13" s="235"/>
      <c r="I13" s="235"/>
      <c r="J13" s="235"/>
      <c r="K13" s="235"/>
      <c r="L13" s="238"/>
      <c r="M13" s="235"/>
      <c r="N13" s="235"/>
      <c r="O13" s="235"/>
      <c r="P13" s="235"/>
      <c r="Q13" s="238"/>
      <c r="R13" s="235"/>
      <c r="S13" s="235"/>
      <c r="T13" s="235"/>
      <c r="U13" s="235"/>
      <c r="V13" s="238"/>
      <c r="W13" s="235"/>
      <c r="X13" s="235"/>
      <c r="Y13" s="235"/>
      <c r="Z13" s="235"/>
      <c r="AA13" s="238"/>
      <c r="AB13" s="235"/>
      <c r="AC13" s="235"/>
      <c r="AD13" s="235"/>
      <c r="AE13" s="235"/>
      <c r="AF13" s="238"/>
      <c r="AG13" s="235"/>
      <c r="AH13" s="235"/>
      <c r="AI13" s="235"/>
      <c r="AJ13" s="235"/>
      <c r="AK13" s="238"/>
      <c r="AL13" s="235"/>
      <c r="AM13" s="235"/>
      <c r="AN13" s="235"/>
      <c r="AO13" s="235"/>
      <c r="AP13" s="238"/>
      <c r="AQ13" s="235"/>
      <c r="AR13" s="235"/>
      <c r="AS13" s="235"/>
      <c r="AT13" s="235"/>
      <c r="AU13" s="238"/>
      <c r="AV13" s="235"/>
      <c r="AW13" s="235"/>
      <c r="AX13" s="235"/>
      <c r="AY13" s="235"/>
      <c r="AZ13" s="238"/>
      <c r="BA13" s="235"/>
      <c r="BB13" s="235"/>
      <c r="BC13" s="235"/>
      <c r="BD13" s="235"/>
      <c r="BE13" s="238"/>
      <c r="BF13" s="235"/>
      <c r="BG13" s="235"/>
      <c r="BH13" s="235"/>
      <c r="BI13" s="235"/>
      <c r="BJ13" s="238"/>
      <c r="BK13" s="235"/>
      <c r="BL13" s="235"/>
      <c r="BM13" s="235"/>
      <c r="BN13" s="366"/>
      <c r="BO13" s="370"/>
      <c r="BP13" s="366"/>
      <c r="BQ13" s="366"/>
      <c r="BR13" s="366"/>
      <c r="BS13" s="366"/>
      <c r="BT13" s="370"/>
    </row>
    <row r="14" spans="1:72" s="188" customFormat="1" ht="13">
      <c r="A14" s="676">
        <f t="shared" si="11"/>
        <v>8</v>
      </c>
      <c r="B14" s="185" t="s">
        <v>140</v>
      </c>
      <c r="D14" s="189"/>
      <c r="E14" s="239">
        <f t="shared" ref="E14:O14" si="23">E113</f>
        <v>0</v>
      </c>
      <c r="F14" s="239">
        <f t="shared" si="23"/>
        <v>0</v>
      </c>
      <c r="G14" s="239">
        <f t="shared" si="23"/>
        <v>0</v>
      </c>
      <c r="H14" s="44">
        <f t="shared" si="23"/>
        <v>0</v>
      </c>
      <c r="I14" s="44">
        <f>I113</f>
        <v>0</v>
      </c>
      <c r="J14" s="44">
        <f t="shared" si="23"/>
        <v>0</v>
      </c>
      <c r="K14" s="44">
        <f>K113</f>
        <v>0</v>
      </c>
      <c r="L14" s="239">
        <f>L113</f>
        <v>0</v>
      </c>
      <c r="M14" s="44">
        <f t="shared" si="23"/>
        <v>0</v>
      </c>
      <c r="N14" s="44">
        <f t="shared" si="23"/>
        <v>0</v>
      </c>
      <c r="O14" s="44">
        <f t="shared" si="23"/>
        <v>0</v>
      </c>
      <c r="P14" s="44">
        <f>Q14-M14-N14-O14</f>
        <v>0</v>
      </c>
      <c r="Q14" s="239">
        <f>Q113</f>
        <v>0</v>
      </c>
      <c r="R14" s="44">
        <f t="shared" ref="R14:AJ14" si="24">R113</f>
        <v>0</v>
      </c>
      <c r="S14" s="44">
        <f t="shared" si="24"/>
        <v>0</v>
      </c>
      <c r="T14" s="44">
        <f t="shared" si="24"/>
        <v>0</v>
      </c>
      <c r="U14" s="44">
        <f t="shared" si="24"/>
        <v>0</v>
      </c>
      <c r="V14" s="239">
        <f t="shared" si="24"/>
        <v>0</v>
      </c>
      <c r="W14" s="44">
        <f t="shared" si="24"/>
        <v>0</v>
      </c>
      <c r="X14" s="44">
        <f t="shared" ref="X14:AD14" si="25">X113</f>
        <v>0</v>
      </c>
      <c r="Y14" s="44">
        <f t="shared" si="25"/>
        <v>0</v>
      </c>
      <c r="Z14" s="44">
        <f t="shared" si="25"/>
        <v>0</v>
      </c>
      <c r="AA14" s="239">
        <f t="shared" si="25"/>
        <v>0</v>
      </c>
      <c r="AB14" s="44">
        <f t="shared" si="25"/>
        <v>0</v>
      </c>
      <c r="AC14" s="44">
        <f t="shared" si="25"/>
        <v>0</v>
      </c>
      <c r="AD14" s="44">
        <f t="shared" si="25"/>
        <v>0</v>
      </c>
      <c r="AE14" s="44">
        <f>AE113</f>
        <v>0</v>
      </c>
      <c r="AF14" s="239">
        <f t="shared" si="24"/>
        <v>0</v>
      </c>
      <c r="AG14" s="44">
        <f t="shared" si="24"/>
        <v>0</v>
      </c>
      <c r="AH14" s="44">
        <f t="shared" si="24"/>
        <v>0</v>
      </c>
      <c r="AI14" s="44">
        <f t="shared" si="24"/>
        <v>0</v>
      </c>
      <c r="AJ14" s="44">
        <f t="shared" si="24"/>
        <v>0</v>
      </c>
      <c r="AK14" s="239">
        <f t="shared" ref="AK14:AP14" si="26">AK113</f>
        <v>0</v>
      </c>
      <c r="AL14" s="44">
        <f t="shared" si="26"/>
        <v>0</v>
      </c>
      <c r="AM14" s="44">
        <f t="shared" si="26"/>
        <v>0</v>
      </c>
      <c r="AN14" s="44">
        <f t="shared" si="26"/>
        <v>0</v>
      </c>
      <c r="AO14" s="44">
        <f t="shared" si="26"/>
        <v>0</v>
      </c>
      <c r="AP14" s="239">
        <f t="shared" si="26"/>
        <v>0</v>
      </c>
      <c r="AQ14" s="44">
        <f>AQ113</f>
        <v>0</v>
      </c>
      <c r="AR14" s="44">
        <f>AR113</f>
        <v>0</v>
      </c>
      <c r="AS14" s="44">
        <f>AS113</f>
        <v>0</v>
      </c>
      <c r="AT14" s="44">
        <f>AT113</f>
        <v>0</v>
      </c>
      <c r="AU14" s="239">
        <f>AU113</f>
        <v>0</v>
      </c>
      <c r="AV14" s="44">
        <f t="shared" ref="AV14:BA14" si="27">AV113</f>
        <v>0</v>
      </c>
      <c r="AW14" s="44">
        <f t="shared" si="27"/>
        <v>0</v>
      </c>
      <c r="AX14" s="44">
        <f t="shared" si="27"/>
        <v>0</v>
      </c>
      <c r="AY14" s="44">
        <f t="shared" si="27"/>
        <v>0</v>
      </c>
      <c r="AZ14" s="239">
        <f t="shared" si="27"/>
        <v>0</v>
      </c>
      <c r="BA14" s="44">
        <f t="shared" si="27"/>
        <v>0</v>
      </c>
      <c r="BB14" s="44">
        <f t="shared" ref="BB14:BG14" si="28">BB113</f>
        <v>0</v>
      </c>
      <c r="BC14" s="44">
        <f t="shared" si="28"/>
        <v>0</v>
      </c>
      <c r="BD14" s="44">
        <f t="shared" si="28"/>
        <v>0</v>
      </c>
      <c r="BE14" s="239">
        <f t="shared" si="28"/>
        <v>0</v>
      </c>
      <c r="BF14" s="44">
        <f t="shared" si="28"/>
        <v>0</v>
      </c>
      <c r="BG14" s="44">
        <f t="shared" si="28"/>
        <v>0</v>
      </c>
      <c r="BH14" s="44">
        <f t="shared" ref="BH14:BT14" si="29">BH113</f>
        <v>0</v>
      </c>
      <c r="BI14" s="44">
        <f t="shared" si="29"/>
        <v>0</v>
      </c>
      <c r="BJ14" s="239">
        <f t="shared" si="29"/>
        <v>0</v>
      </c>
      <c r="BK14" s="44">
        <f t="shared" si="29"/>
        <v>0</v>
      </c>
      <c r="BL14" s="44">
        <f t="shared" si="29"/>
        <v>0</v>
      </c>
      <c r="BM14" s="44">
        <f>BM113</f>
        <v>0</v>
      </c>
      <c r="BN14" s="371">
        <f t="shared" si="29"/>
        <v>0</v>
      </c>
      <c r="BO14" s="372">
        <f t="shared" si="29"/>
        <v>0</v>
      </c>
      <c r="BP14" s="371">
        <f t="shared" si="29"/>
        <v>0</v>
      </c>
      <c r="BQ14" s="371">
        <f t="shared" si="29"/>
        <v>0</v>
      </c>
      <c r="BR14" s="371">
        <f t="shared" si="29"/>
        <v>0</v>
      </c>
      <c r="BS14" s="371">
        <f t="shared" si="29"/>
        <v>0</v>
      </c>
      <c r="BT14" s="372">
        <f t="shared" si="29"/>
        <v>0</v>
      </c>
    </row>
    <row r="15" spans="1:72" s="182" customFormat="1" ht="13">
      <c r="A15" s="676">
        <f t="shared" si="11"/>
        <v>9</v>
      </c>
      <c r="B15" s="234" t="s">
        <v>168</v>
      </c>
      <c r="D15" s="190"/>
      <c r="E15" s="186" t="e">
        <f t="shared" ref="E15:AB15" si="30">E14/E8</f>
        <v>#DIV/0!</v>
      </c>
      <c r="F15" s="186" t="e">
        <f t="shared" si="30"/>
        <v>#DIV/0!</v>
      </c>
      <c r="G15" s="186" t="e">
        <f t="shared" si="30"/>
        <v>#DIV/0!</v>
      </c>
      <c r="H15" s="32" t="e">
        <f t="shared" si="30"/>
        <v>#DIV/0!</v>
      </c>
      <c r="I15" s="32" t="e">
        <f t="shared" si="30"/>
        <v>#DIV/0!</v>
      </c>
      <c r="J15" s="32" t="e">
        <f t="shared" si="30"/>
        <v>#DIV/0!</v>
      </c>
      <c r="K15" s="32" t="e">
        <f t="shared" si="30"/>
        <v>#DIV/0!</v>
      </c>
      <c r="L15" s="186" t="e">
        <f t="shared" si="30"/>
        <v>#DIV/0!</v>
      </c>
      <c r="M15" s="32" t="e">
        <f t="shared" si="30"/>
        <v>#DIV/0!</v>
      </c>
      <c r="N15" s="32" t="e">
        <f t="shared" si="30"/>
        <v>#DIV/0!</v>
      </c>
      <c r="O15" s="32" t="e">
        <f t="shared" si="30"/>
        <v>#DIV/0!</v>
      </c>
      <c r="P15" s="32" t="e">
        <f t="shared" si="30"/>
        <v>#DIV/0!</v>
      </c>
      <c r="Q15" s="186" t="e">
        <f t="shared" si="30"/>
        <v>#DIV/0!</v>
      </c>
      <c r="R15" s="32" t="e">
        <f t="shared" si="30"/>
        <v>#DIV/0!</v>
      </c>
      <c r="S15" s="32" t="e">
        <f t="shared" si="30"/>
        <v>#DIV/0!</v>
      </c>
      <c r="T15" s="32" t="e">
        <f t="shared" si="30"/>
        <v>#DIV/0!</v>
      </c>
      <c r="U15" s="32" t="e">
        <f t="shared" si="30"/>
        <v>#DIV/0!</v>
      </c>
      <c r="V15" s="186" t="e">
        <f t="shared" si="30"/>
        <v>#DIV/0!</v>
      </c>
      <c r="W15" s="32" t="e">
        <f t="shared" si="30"/>
        <v>#DIV/0!</v>
      </c>
      <c r="X15" s="32" t="e">
        <f>X14/X8</f>
        <v>#DIV/0!</v>
      </c>
      <c r="Y15" s="32" t="e">
        <f>Y14/Y8</f>
        <v>#DIV/0!</v>
      </c>
      <c r="Z15" s="32" t="e">
        <f t="shared" si="30"/>
        <v>#DIV/0!</v>
      </c>
      <c r="AA15" s="186" t="e">
        <f t="shared" si="30"/>
        <v>#DIV/0!</v>
      </c>
      <c r="AB15" s="32" t="e">
        <f t="shared" si="30"/>
        <v>#DIV/0!</v>
      </c>
      <c r="AC15" s="32" t="e">
        <f t="shared" ref="AC15:AQ15" si="31">AC14/AC8</f>
        <v>#DIV/0!</v>
      </c>
      <c r="AD15" s="32" t="e">
        <f t="shared" si="31"/>
        <v>#DIV/0!</v>
      </c>
      <c r="AE15" s="32" t="e">
        <f t="shared" si="31"/>
        <v>#DIV/0!</v>
      </c>
      <c r="AF15" s="186" t="e">
        <f t="shared" si="31"/>
        <v>#DIV/0!</v>
      </c>
      <c r="AG15" s="32" t="e">
        <f t="shared" si="31"/>
        <v>#DIV/0!</v>
      </c>
      <c r="AH15" s="32" t="e">
        <f t="shared" si="31"/>
        <v>#DIV/0!</v>
      </c>
      <c r="AI15" s="32" t="e">
        <f t="shared" si="31"/>
        <v>#DIV/0!</v>
      </c>
      <c r="AJ15" s="32" t="e">
        <f t="shared" si="31"/>
        <v>#DIV/0!</v>
      </c>
      <c r="AK15" s="186" t="e">
        <f t="shared" si="31"/>
        <v>#DIV/0!</v>
      </c>
      <c r="AL15" s="32" t="e">
        <f t="shared" si="31"/>
        <v>#DIV/0!</v>
      </c>
      <c r="AM15" s="32" t="e">
        <f t="shared" si="31"/>
        <v>#DIV/0!</v>
      </c>
      <c r="AN15" s="32" t="e">
        <f t="shared" si="31"/>
        <v>#DIV/0!</v>
      </c>
      <c r="AO15" s="32" t="e">
        <f t="shared" si="31"/>
        <v>#DIV/0!</v>
      </c>
      <c r="AP15" s="186" t="e">
        <f t="shared" si="31"/>
        <v>#DIV/0!</v>
      </c>
      <c r="AQ15" s="32" t="e">
        <f t="shared" si="31"/>
        <v>#DIV/0!</v>
      </c>
      <c r="AR15" s="32" t="e">
        <f t="shared" ref="AR15:AW15" si="32">AR14/AR8</f>
        <v>#DIV/0!</v>
      </c>
      <c r="AS15" s="32" t="e">
        <f t="shared" si="32"/>
        <v>#DIV/0!</v>
      </c>
      <c r="AT15" s="32" t="e">
        <f t="shared" si="32"/>
        <v>#DIV/0!</v>
      </c>
      <c r="AU15" s="186" t="e">
        <f t="shared" si="32"/>
        <v>#DIV/0!</v>
      </c>
      <c r="AV15" s="32" t="e">
        <f t="shared" si="32"/>
        <v>#DIV/0!</v>
      </c>
      <c r="AW15" s="32" t="e">
        <f t="shared" si="32"/>
        <v>#DIV/0!</v>
      </c>
      <c r="AX15" s="32" t="e">
        <f t="shared" ref="AX15:BG15" si="33">AX14/AX8</f>
        <v>#DIV/0!</v>
      </c>
      <c r="AY15" s="32" t="e">
        <f t="shared" si="33"/>
        <v>#DIV/0!</v>
      </c>
      <c r="AZ15" s="186" t="e">
        <f t="shared" si="33"/>
        <v>#DIV/0!</v>
      </c>
      <c r="BA15" s="32" t="e">
        <f t="shared" si="33"/>
        <v>#DIV/0!</v>
      </c>
      <c r="BB15" s="32" t="e">
        <f t="shared" si="33"/>
        <v>#DIV/0!</v>
      </c>
      <c r="BC15" s="32" t="e">
        <f t="shared" si="33"/>
        <v>#DIV/0!</v>
      </c>
      <c r="BD15" s="32" t="e">
        <f t="shared" si="33"/>
        <v>#DIV/0!</v>
      </c>
      <c r="BE15" s="186" t="e">
        <f t="shared" si="33"/>
        <v>#DIV/0!</v>
      </c>
      <c r="BF15" s="32" t="e">
        <f t="shared" si="33"/>
        <v>#DIV/0!</v>
      </c>
      <c r="BG15" s="32" t="e">
        <f t="shared" si="33"/>
        <v>#DIV/0!</v>
      </c>
      <c r="BH15" s="32" t="e">
        <f t="shared" ref="BH15:BT15" si="34">BH14/BH8</f>
        <v>#DIV/0!</v>
      </c>
      <c r="BI15" s="32" t="e">
        <f t="shared" si="34"/>
        <v>#DIV/0!</v>
      </c>
      <c r="BJ15" s="186" t="e">
        <f t="shared" si="34"/>
        <v>#DIV/0!</v>
      </c>
      <c r="BK15" s="32" t="e">
        <f t="shared" si="34"/>
        <v>#DIV/0!</v>
      </c>
      <c r="BL15" s="32" t="e">
        <f t="shared" si="34"/>
        <v>#DIV/0!</v>
      </c>
      <c r="BM15" s="32" t="e">
        <f>BM14/BM8</f>
        <v>#DIV/0!</v>
      </c>
      <c r="BN15" s="364" t="e">
        <f t="shared" si="34"/>
        <v>#DIV/0!</v>
      </c>
      <c r="BO15" s="365" t="e">
        <f t="shared" si="34"/>
        <v>#DIV/0!</v>
      </c>
      <c r="BP15" s="364" t="e">
        <f t="shared" si="34"/>
        <v>#DIV/0!</v>
      </c>
      <c r="BQ15" s="364" t="e">
        <f t="shared" si="34"/>
        <v>#DIV/0!</v>
      </c>
      <c r="BR15" s="364" t="e">
        <f t="shared" si="34"/>
        <v>#DIV/0!</v>
      </c>
      <c r="BS15" s="364" t="e">
        <f t="shared" si="34"/>
        <v>#DIV/0!</v>
      </c>
      <c r="BT15" s="365" t="e">
        <f t="shared" si="34"/>
        <v>#DIV/0!</v>
      </c>
    </row>
    <row r="16" spans="1:72" s="182" customFormat="1" ht="13">
      <c r="A16" s="676">
        <f t="shared" si="11"/>
        <v>10</v>
      </c>
      <c r="B16" s="234" t="s">
        <v>166</v>
      </c>
      <c r="D16" s="190"/>
      <c r="E16" s="186"/>
      <c r="F16" s="186" t="e">
        <f>F14/E14-1</f>
        <v>#DIV/0!</v>
      </c>
      <c r="G16" s="186" t="e">
        <f>G14/F14-1</f>
        <v>#DIV/0!</v>
      </c>
      <c r="H16" s="32"/>
      <c r="I16" s="32"/>
      <c r="J16" s="32"/>
      <c r="K16" s="32"/>
      <c r="L16" s="186" t="e">
        <f t="shared" ref="L16:AF16" si="35">L14/G14-1</f>
        <v>#DIV/0!</v>
      </c>
      <c r="M16" s="32" t="e">
        <f t="shared" si="35"/>
        <v>#DIV/0!</v>
      </c>
      <c r="N16" s="32" t="e">
        <f t="shared" si="35"/>
        <v>#DIV/0!</v>
      </c>
      <c r="O16" s="32" t="e">
        <f t="shared" si="35"/>
        <v>#DIV/0!</v>
      </c>
      <c r="P16" s="32" t="e">
        <f t="shared" si="35"/>
        <v>#DIV/0!</v>
      </c>
      <c r="Q16" s="186" t="e">
        <f t="shared" si="35"/>
        <v>#DIV/0!</v>
      </c>
      <c r="R16" s="32" t="e">
        <f t="shared" si="35"/>
        <v>#DIV/0!</v>
      </c>
      <c r="S16" s="32" t="e">
        <f t="shared" si="35"/>
        <v>#DIV/0!</v>
      </c>
      <c r="T16" s="32" t="e">
        <f t="shared" si="35"/>
        <v>#DIV/0!</v>
      </c>
      <c r="U16" s="32" t="e">
        <f t="shared" si="35"/>
        <v>#DIV/0!</v>
      </c>
      <c r="V16" s="186" t="e">
        <f t="shared" si="35"/>
        <v>#DIV/0!</v>
      </c>
      <c r="W16" s="32" t="e">
        <f t="shared" si="35"/>
        <v>#DIV/0!</v>
      </c>
      <c r="X16" s="32" t="e">
        <f>X14/S14-1</f>
        <v>#DIV/0!</v>
      </c>
      <c r="Y16" s="32" t="e">
        <f>Y14/T14-1</f>
        <v>#DIV/0!</v>
      </c>
      <c r="Z16" s="32" t="e">
        <f t="shared" si="35"/>
        <v>#DIV/0!</v>
      </c>
      <c r="AA16" s="186" t="e">
        <f t="shared" si="35"/>
        <v>#DIV/0!</v>
      </c>
      <c r="AB16" s="32" t="e">
        <f t="shared" si="35"/>
        <v>#DIV/0!</v>
      </c>
      <c r="AC16" s="32" t="e">
        <f>AC14/X14-1</f>
        <v>#DIV/0!</v>
      </c>
      <c r="AD16" s="32" t="e">
        <f>AD14/Y14-1</f>
        <v>#DIV/0!</v>
      </c>
      <c r="AE16" s="32" t="e">
        <f t="shared" si="35"/>
        <v>#DIV/0!</v>
      </c>
      <c r="AF16" s="186" t="e">
        <f t="shared" si="35"/>
        <v>#DIV/0!</v>
      </c>
      <c r="AG16" s="32" t="e">
        <f t="shared" ref="AG16:AS16" si="36">AG14/AB14-1</f>
        <v>#DIV/0!</v>
      </c>
      <c r="AH16" s="32" t="e">
        <f t="shared" si="36"/>
        <v>#DIV/0!</v>
      </c>
      <c r="AI16" s="32" t="e">
        <f t="shared" si="36"/>
        <v>#DIV/0!</v>
      </c>
      <c r="AJ16" s="32" t="e">
        <f t="shared" si="36"/>
        <v>#DIV/0!</v>
      </c>
      <c r="AK16" s="186" t="e">
        <f t="shared" si="36"/>
        <v>#DIV/0!</v>
      </c>
      <c r="AL16" s="32" t="e">
        <f t="shared" si="36"/>
        <v>#DIV/0!</v>
      </c>
      <c r="AM16" s="32" t="e">
        <f t="shared" si="36"/>
        <v>#DIV/0!</v>
      </c>
      <c r="AN16" s="32" t="e">
        <f t="shared" si="36"/>
        <v>#DIV/0!</v>
      </c>
      <c r="AO16" s="32" t="e">
        <f t="shared" si="36"/>
        <v>#DIV/0!</v>
      </c>
      <c r="AP16" s="186" t="e">
        <f t="shared" si="36"/>
        <v>#DIV/0!</v>
      </c>
      <c r="AQ16" s="32" t="e">
        <f t="shared" si="36"/>
        <v>#DIV/0!</v>
      </c>
      <c r="AR16" s="32" t="e">
        <f t="shared" si="36"/>
        <v>#DIV/0!</v>
      </c>
      <c r="AS16" s="32" t="e">
        <f t="shared" si="36"/>
        <v>#DIV/0!</v>
      </c>
      <c r="AT16" s="32" t="e">
        <f t="shared" ref="AT16:BB16" si="37">AT14/AO14-1</f>
        <v>#DIV/0!</v>
      </c>
      <c r="AU16" s="186" t="e">
        <f t="shared" si="37"/>
        <v>#DIV/0!</v>
      </c>
      <c r="AV16" s="32" t="e">
        <f t="shared" si="37"/>
        <v>#DIV/0!</v>
      </c>
      <c r="AW16" s="32" t="e">
        <f t="shared" si="37"/>
        <v>#DIV/0!</v>
      </c>
      <c r="AX16" s="32" t="e">
        <f t="shared" si="37"/>
        <v>#DIV/0!</v>
      </c>
      <c r="AY16" s="32" t="e">
        <f t="shared" si="37"/>
        <v>#DIV/0!</v>
      </c>
      <c r="AZ16" s="186" t="e">
        <f t="shared" si="37"/>
        <v>#DIV/0!</v>
      </c>
      <c r="BA16" s="32" t="e">
        <f t="shared" si="37"/>
        <v>#DIV/0!</v>
      </c>
      <c r="BB16" s="32" t="e">
        <f t="shared" si="37"/>
        <v>#DIV/0!</v>
      </c>
      <c r="BC16" s="32" t="e">
        <f t="shared" ref="BC16:BH16" si="38">BC14/AX14-1</f>
        <v>#DIV/0!</v>
      </c>
      <c r="BD16" s="32" t="e">
        <f t="shared" si="38"/>
        <v>#DIV/0!</v>
      </c>
      <c r="BE16" s="186" t="e">
        <f t="shared" si="38"/>
        <v>#DIV/0!</v>
      </c>
      <c r="BF16" s="32" t="e">
        <f t="shared" si="38"/>
        <v>#DIV/0!</v>
      </c>
      <c r="BG16" s="32" t="e">
        <f t="shared" si="38"/>
        <v>#DIV/0!</v>
      </c>
      <c r="BH16" s="32" t="e">
        <f t="shared" si="38"/>
        <v>#DIV/0!</v>
      </c>
      <c r="BI16" s="32" t="e">
        <f t="shared" ref="BI16:BT16" si="39">BI14/BD14-1</f>
        <v>#DIV/0!</v>
      </c>
      <c r="BJ16" s="186" t="e">
        <f t="shared" si="39"/>
        <v>#DIV/0!</v>
      </c>
      <c r="BK16" s="32" t="e">
        <f t="shared" si="39"/>
        <v>#DIV/0!</v>
      </c>
      <c r="BL16" s="32" t="e">
        <f t="shared" si="39"/>
        <v>#DIV/0!</v>
      </c>
      <c r="BM16" s="32" t="e">
        <f t="shared" si="39"/>
        <v>#DIV/0!</v>
      </c>
      <c r="BN16" s="364" t="e">
        <f t="shared" si="39"/>
        <v>#DIV/0!</v>
      </c>
      <c r="BO16" s="365" t="e">
        <f t="shared" si="39"/>
        <v>#DIV/0!</v>
      </c>
      <c r="BP16" s="364" t="e">
        <f t="shared" si="39"/>
        <v>#DIV/0!</v>
      </c>
      <c r="BQ16" s="364" t="e">
        <f t="shared" si="39"/>
        <v>#DIV/0!</v>
      </c>
      <c r="BR16" s="364" t="e">
        <f t="shared" si="39"/>
        <v>#DIV/0!</v>
      </c>
      <c r="BS16" s="364" t="e">
        <f t="shared" si="39"/>
        <v>#DIV/0!</v>
      </c>
      <c r="BT16" s="365" t="e">
        <f t="shared" si="39"/>
        <v>#DIV/0!</v>
      </c>
    </row>
    <row r="17" spans="1:72" s="182" customFormat="1" ht="13">
      <c r="A17" s="676">
        <f t="shared" si="11"/>
        <v>11</v>
      </c>
      <c r="B17" s="183"/>
      <c r="D17" s="191"/>
      <c r="E17" s="238"/>
      <c r="F17" s="238"/>
      <c r="G17" s="238"/>
      <c r="H17" s="240"/>
      <c r="I17" s="240"/>
      <c r="J17" s="240"/>
      <c r="K17" s="240"/>
      <c r="L17" s="238"/>
      <c r="M17" s="240"/>
      <c r="N17" s="240"/>
      <c r="O17" s="240"/>
      <c r="P17" s="240"/>
      <c r="Q17" s="238"/>
      <c r="R17" s="240"/>
      <c r="S17" s="240"/>
      <c r="T17" s="240"/>
      <c r="U17" s="240"/>
      <c r="V17" s="238"/>
      <c r="W17" s="240"/>
      <c r="X17" s="240"/>
      <c r="Y17" s="240"/>
      <c r="Z17" s="240"/>
      <c r="AA17" s="238"/>
      <c r="AB17" s="240"/>
      <c r="AC17" s="240"/>
      <c r="AD17" s="240"/>
      <c r="AE17" s="240"/>
      <c r="AF17" s="238"/>
      <c r="AG17" s="240"/>
      <c r="AH17" s="240"/>
      <c r="AI17" s="240"/>
      <c r="AJ17" s="240"/>
      <c r="AK17" s="238"/>
      <c r="AL17" s="240"/>
      <c r="AM17" s="240"/>
      <c r="AN17" s="240"/>
      <c r="AO17" s="240"/>
      <c r="AP17" s="238"/>
      <c r="AQ17" s="240"/>
      <c r="AR17" s="240"/>
      <c r="AS17" s="240"/>
      <c r="AT17" s="240"/>
      <c r="AU17" s="238"/>
      <c r="AV17" s="240"/>
      <c r="AW17" s="240"/>
      <c r="AX17" s="240"/>
      <c r="AY17" s="240"/>
      <c r="AZ17" s="238"/>
      <c r="BA17" s="240"/>
      <c r="BB17" s="240"/>
      <c r="BC17" s="240"/>
      <c r="BD17" s="240"/>
      <c r="BE17" s="238"/>
      <c r="BF17" s="240"/>
      <c r="BG17" s="240"/>
      <c r="BH17" s="240"/>
      <c r="BI17" s="240"/>
      <c r="BJ17" s="238"/>
      <c r="BK17" s="240"/>
      <c r="BL17" s="240"/>
      <c r="BM17" s="240"/>
      <c r="BN17" s="373"/>
      <c r="BO17" s="370"/>
      <c r="BP17" s="373"/>
      <c r="BQ17" s="373"/>
      <c r="BR17" s="373"/>
      <c r="BS17" s="373"/>
      <c r="BT17" s="370"/>
    </row>
    <row r="18" spans="1:72" s="182" customFormat="1" ht="13">
      <c r="A18" s="676">
        <f t="shared" si="11"/>
        <v>12</v>
      </c>
      <c r="B18" s="183" t="s">
        <v>169</v>
      </c>
      <c r="D18" s="192"/>
      <c r="E18" s="237">
        <f t="shared" ref="E18:P18" si="40">-E117+E118</f>
        <v>0</v>
      </c>
      <c r="F18" s="237">
        <f t="shared" si="40"/>
        <v>0</v>
      </c>
      <c r="G18" s="237">
        <f t="shared" si="40"/>
        <v>0</v>
      </c>
      <c r="H18" s="40">
        <f t="shared" si="40"/>
        <v>0</v>
      </c>
      <c r="I18" s="40">
        <f t="shared" si="40"/>
        <v>0</v>
      </c>
      <c r="J18" s="40">
        <f t="shared" si="40"/>
        <v>0</v>
      </c>
      <c r="K18" s="40">
        <f t="shared" si="40"/>
        <v>0</v>
      </c>
      <c r="L18" s="237">
        <f t="shared" si="40"/>
        <v>0</v>
      </c>
      <c r="M18" s="40">
        <f t="shared" si="40"/>
        <v>0</v>
      </c>
      <c r="N18" s="40">
        <f t="shared" si="40"/>
        <v>0</v>
      </c>
      <c r="O18" s="40">
        <f t="shared" si="40"/>
        <v>0</v>
      </c>
      <c r="P18" s="40">
        <f t="shared" si="40"/>
        <v>0</v>
      </c>
      <c r="Q18" s="237">
        <f>-Q117+Q118</f>
        <v>0</v>
      </c>
      <c r="R18" s="40">
        <f t="shared" ref="R18:AJ18" si="41">-R117+R118</f>
        <v>0</v>
      </c>
      <c r="S18" s="40">
        <f t="shared" si="41"/>
        <v>0</v>
      </c>
      <c r="T18" s="40">
        <f t="shared" si="41"/>
        <v>0</v>
      </c>
      <c r="U18" s="40">
        <f t="shared" si="41"/>
        <v>0</v>
      </c>
      <c r="V18" s="237">
        <f t="shared" si="41"/>
        <v>0</v>
      </c>
      <c r="W18" s="40">
        <f t="shared" si="41"/>
        <v>0</v>
      </c>
      <c r="X18" s="40">
        <f t="shared" ref="X18:AD18" si="42">-X117+X118</f>
        <v>0</v>
      </c>
      <c r="Y18" s="40">
        <f t="shared" si="42"/>
        <v>0</v>
      </c>
      <c r="Z18" s="40">
        <f t="shared" si="42"/>
        <v>0</v>
      </c>
      <c r="AA18" s="237">
        <f t="shared" si="42"/>
        <v>0</v>
      </c>
      <c r="AB18" s="40">
        <f t="shared" si="42"/>
        <v>0</v>
      </c>
      <c r="AC18" s="40">
        <f t="shared" si="42"/>
        <v>0</v>
      </c>
      <c r="AD18" s="40">
        <f t="shared" si="42"/>
        <v>0</v>
      </c>
      <c r="AE18" s="40">
        <f>-AE117+AE118</f>
        <v>0</v>
      </c>
      <c r="AF18" s="237">
        <f t="shared" si="41"/>
        <v>0</v>
      </c>
      <c r="AG18" s="40">
        <f t="shared" si="41"/>
        <v>0</v>
      </c>
      <c r="AH18" s="40">
        <f t="shared" si="41"/>
        <v>0</v>
      </c>
      <c r="AI18" s="40">
        <f t="shared" si="41"/>
        <v>0</v>
      </c>
      <c r="AJ18" s="40">
        <f t="shared" si="41"/>
        <v>0</v>
      </c>
      <c r="AK18" s="237">
        <f t="shared" ref="AK18:AP18" si="43">-AK117+AK118</f>
        <v>0</v>
      </c>
      <c r="AL18" s="40">
        <f t="shared" si="43"/>
        <v>0</v>
      </c>
      <c r="AM18" s="40">
        <f t="shared" si="43"/>
        <v>0</v>
      </c>
      <c r="AN18" s="40">
        <f t="shared" si="43"/>
        <v>0</v>
      </c>
      <c r="AO18" s="40">
        <f t="shared" si="43"/>
        <v>0</v>
      </c>
      <c r="AP18" s="237">
        <f t="shared" si="43"/>
        <v>0</v>
      </c>
      <c r="AQ18" s="40">
        <f>-AQ117+AQ118</f>
        <v>0</v>
      </c>
      <c r="AR18" s="40">
        <f>-AR117+AR118</f>
        <v>0</v>
      </c>
      <c r="AS18" s="40">
        <f>-AS117+AS118</f>
        <v>0</v>
      </c>
      <c r="AT18" s="40">
        <f>-AT117+AT118</f>
        <v>0</v>
      </c>
      <c r="AU18" s="237">
        <f>-AU117+AU118</f>
        <v>0</v>
      </c>
      <c r="AV18" s="40">
        <f t="shared" ref="AV18:BA18" si="44">-AV117+AV118</f>
        <v>0</v>
      </c>
      <c r="AW18" s="40">
        <f t="shared" si="44"/>
        <v>0</v>
      </c>
      <c r="AX18" s="40">
        <f t="shared" si="44"/>
        <v>0</v>
      </c>
      <c r="AY18" s="40">
        <f t="shared" si="44"/>
        <v>0</v>
      </c>
      <c r="AZ18" s="237">
        <f t="shared" si="44"/>
        <v>0</v>
      </c>
      <c r="BA18" s="40">
        <f t="shared" si="44"/>
        <v>0</v>
      </c>
      <c r="BB18" s="40">
        <f t="shared" ref="BB18:BG18" si="45">-BB117+BB118</f>
        <v>0</v>
      </c>
      <c r="BC18" s="40">
        <f t="shared" si="45"/>
        <v>0</v>
      </c>
      <c r="BD18" s="40">
        <f t="shared" si="45"/>
        <v>0</v>
      </c>
      <c r="BE18" s="237">
        <f t="shared" si="45"/>
        <v>0</v>
      </c>
      <c r="BF18" s="40">
        <f t="shared" si="45"/>
        <v>0</v>
      </c>
      <c r="BG18" s="40">
        <f t="shared" si="45"/>
        <v>0</v>
      </c>
      <c r="BH18" s="40">
        <f t="shared" ref="BH18:BT18" si="46">-BH117+BH118</f>
        <v>0</v>
      </c>
      <c r="BI18" s="40">
        <f t="shared" si="46"/>
        <v>0</v>
      </c>
      <c r="BJ18" s="237">
        <f t="shared" si="46"/>
        <v>0</v>
      </c>
      <c r="BK18" s="40">
        <f t="shared" si="46"/>
        <v>0</v>
      </c>
      <c r="BL18" s="40">
        <f t="shared" si="46"/>
        <v>0</v>
      </c>
      <c r="BM18" s="40">
        <f>-BM117+BM118</f>
        <v>0</v>
      </c>
      <c r="BN18" s="368">
        <f t="shared" si="46"/>
        <v>0</v>
      </c>
      <c r="BO18" s="369">
        <f t="shared" si="46"/>
        <v>0</v>
      </c>
      <c r="BP18" s="368">
        <f t="shared" si="46"/>
        <v>0</v>
      </c>
      <c r="BQ18" s="368">
        <f t="shared" si="46"/>
        <v>0</v>
      </c>
      <c r="BR18" s="368">
        <f t="shared" si="46"/>
        <v>0</v>
      </c>
      <c r="BS18" s="368">
        <f t="shared" si="46"/>
        <v>0</v>
      </c>
      <c r="BT18" s="369">
        <f t="shared" si="46"/>
        <v>0</v>
      </c>
    </row>
    <row r="19" spans="1:72" s="182" customFormat="1" ht="13">
      <c r="A19" s="676">
        <f t="shared" si="11"/>
        <v>13</v>
      </c>
      <c r="B19" s="183" t="s">
        <v>170</v>
      </c>
      <c r="E19" s="237">
        <f t="shared" ref="E19:AJ19" si="47">E131</f>
        <v>0</v>
      </c>
      <c r="F19" s="237">
        <f t="shared" si="47"/>
        <v>0</v>
      </c>
      <c r="G19" s="237">
        <f t="shared" si="47"/>
        <v>0</v>
      </c>
      <c r="H19" s="40">
        <f t="shared" si="47"/>
        <v>0</v>
      </c>
      <c r="I19" s="40">
        <f t="shared" si="47"/>
        <v>0</v>
      </c>
      <c r="J19" s="40">
        <f t="shared" si="47"/>
        <v>0</v>
      </c>
      <c r="K19" s="40">
        <f t="shared" si="47"/>
        <v>0</v>
      </c>
      <c r="L19" s="237">
        <f t="shared" si="47"/>
        <v>0</v>
      </c>
      <c r="M19" s="40">
        <f t="shared" si="47"/>
        <v>0</v>
      </c>
      <c r="N19" s="40">
        <f t="shared" si="47"/>
        <v>0</v>
      </c>
      <c r="O19" s="40">
        <f t="shared" si="47"/>
        <v>0</v>
      </c>
      <c r="P19" s="40">
        <f t="shared" si="47"/>
        <v>0</v>
      </c>
      <c r="Q19" s="237">
        <f t="shared" si="47"/>
        <v>0</v>
      </c>
      <c r="R19" s="40">
        <f t="shared" si="47"/>
        <v>0</v>
      </c>
      <c r="S19" s="40">
        <f t="shared" si="47"/>
        <v>0</v>
      </c>
      <c r="T19" s="40">
        <f t="shared" si="47"/>
        <v>0</v>
      </c>
      <c r="U19" s="40">
        <f t="shared" si="47"/>
        <v>0</v>
      </c>
      <c r="V19" s="237">
        <f t="shared" si="47"/>
        <v>0</v>
      </c>
      <c r="W19" s="40">
        <f t="shared" si="47"/>
        <v>0</v>
      </c>
      <c r="X19" s="40">
        <f t="shared" ref="X19:AD19" si="48">X131</f>
        <v>0</v>
      </c>
      <c r="Y19" s="40">
        <f t="shared" si="48"/>
        <v>0</v>
      </c>
      <c r="Z19" s="40">
        <f t="shared" si="48"/>
        <v>0</v>
      </c>
      <c r="AA19" s="237">
        <f t="shared" si="48"/>
        <v>0</v>
      </c>
      <c r="AB19" s="40">
        <f t="shared" si="48"/>
        <v>0</v>
      </c>
      <c r="AC19" s="40">
        <f t="shared" si="48"/>
        <v>0</v>
      </c>
      <c r="AD19" s="40">
        <f t="shared" si="48"/>
        <v>0</v>
      </c>
      <c r="AE19" s="40">
        <f>AE131</f>
        <v>0</v>
      </c>
      <c r="AF19" s="237">
        <f t="shared" si="47"/>
        <v>0</v>
      </c>
      <c r="AG19" s="40">
        <f t="shared" si="47"/>
        <v>0</v>
      </c>
      <c r="AH19" s="40">
        <f t="shared" si="47"/>
        <v>0</v>
      </c>
      <c r="AI19" s="40">
        <f t="shared" si="47"/>
        <v>0</v>
      </c>
      <c r="AJ19" s="40">
        <f t="shared" si="47"/>
        <v>0</v>
      </c>
      <c r="AK19" s="237">
        <f t="shared" ref="AK19:AP19" si="49">AK131</f>
        <v>0</v>
      </c>
      <c r="AL19" s="40">
        <f t="shared" si="49"/>
        <v>0</v>
      </c>
      <c r="AM19" s="40">
        <f t="shared" si="49"/>
        <v>0</v>
      </c>
      <c r="AN19" s="40">
        <f t="shared" si="49"/>
        <v>0</v>
      </c>
      <c r="AO19" s="40">
        <f t="shared" si="49"/>
        <v>0</v>
      </c>
      <c r="AP19" s="237">
        <f t="shared" si="49"/>
        <v>0</v>
      </c>
      <c r="AQ19" s="40">
        <f>AQ131</f>
        <v>0</v>
      </c>
      <c r="AR19" s="40">
        <f>AR131</f>
        <v>0</v>
      </c>
      <c r="AS19" s="40">
        <f>AS131</f>
        <v>0</v>
      </c>
      <c r="AT19" s="40">
        <f>AT131</f>
        <v>0</v>
      </c>
      <c r="AU19" s="237">
        <f>AU131</f>
        <v>0</v>
      </c>
      <c r="AV19" s="40">
        <f t="shared" ref="AV19:BA19" si="50">AV131</f>
        <v>0</v>
      </c>
      <c r="AW19" s="40">
        <f t="shared" si="50"/>
        <v>0</v>
      </c>
      <c r="AX19" s="40">
        <f t="shared" si="50"/>
        <v>0</v>
      </c>
      <c r="AY19" s="40">
        <f t="shared" si="50"/>
        <v>0</v>
      </c>
      <c r="AZ19" s="237">
        <f t="shared" si="50"/>
        <v>0</v>
      </c>
      <c r="BA19" s="40">
        <f t="shared" si="50"/>
        <v>0</v>
      </c>
      <c r="BB19" s="40">
        <f t="shared" ref="BB19:BG19" si="51">BB131</f>
        <v>0</v>
      </c>
      <c r="BC19" s="40">
        <f t="shared" si="51"/>
        <v>0</v>
      </c>
      <c r="BD19" s="40">
        <f t="shared" si="51"/>
        <v>0</v>
      </c>
      <c r="BE19" s="237">
        <f t="shared" si="51"/>
        <v>0</v>
      </c>
      <c r="BF19" s="40">
        <f t="shared" si="51"/>
        <v>0</v>
      </c>
      <c r="BG19" s="40">
        <f t="shared" si="51"/>
        <v>0</v>
      </c>
      <c r="BH19" s="40">
        <f t="shared" ref="BH19:BT19" si="52">BH131</f>
        <v>0</v>
      </c>
      <c r="BI19" s="40">
        <f t="shared" si="52"/>
        <v>0</v>
      </c>
      <c r="BJ19" s="237">
        <f t="shared" si="52"/>
        <v>0</v>
      </c>
      <c r="BK19" s="40">
        <f t="shared" si="52"/>
        <v>0</v>
      </c>
      <c r="BL19" s="40">
        <f t="shared" si="52"/>
        <v>0</v>
      </c>
      <c r="BM19" s="40">
        <f>BM131</f>
        <v>0</v>
      </c>
      <c r="BN19" s="368">
        <f t="shared" si="52"/>
        <v>0</v>
      </c>
      <c r="BO19" s="369">
        <f t="shared" si="52"/>
        <v>0</v>
      </c>
      <c r="BP19" s="368">
        <f t="shared" si="52"/>
        <v>0</v>
      </c>
      <c r="BQ19" s="368">
        <f t="shared" si="52"/>
        <v>0</v>
      </c>
      <c r="BR19" s="368">
        <f t="shared" si="52"/>
        <v>0</v>
      </c>
      <c r="BS19" s="368">
        <f t="shared" si="52"/>
        <v>0</v>
      </c>
      <c r="BT19" s="369">
        <f t="shared" si="52"/>
        <v>0</v>
      </c>
    </row>
    <row r="20" spans="1:72" s="182" customFormat="1" ht="13">
      <c r="A20" s="676">
        <f t="shared" si="11"/>
        <v>14</v>
      </c>
      <c r="B20" s="183" t="str">
        <f>B150</f>
        <v>Capital Expenditures</v>
      </c>
      <c r="E20" s="171">
        <f t="shared" ref="E20:AJ20" si="53">E150</f>
        <v>0</v>
      </c>
      <c r="F20" s="171">
        <f t="shared" si="53"/>
        <v>0</v>
      </c>
      <c r="G20" s="171">
        <f t="shared" si="53"/>
        <v>0</v>
      </c>
      <c r="H20" s="42">
        <f t="shared" si="53"/>
        <v>0</v>
      </c>
      <c r="I20" s="42">
        <f t="shared" si="53"/>
        <v>0</v>
      </c>
      <c r="J20" s="42">
        <f t="shared" si="53"/>
        <v>0</v>
      </c>
      <c r="K20" s="42">
        <f t="shared" si="53"/>
        <v>0</v>
      </c>
      <c r="L20" s="171">
        <f t="shared" si="53"/>
        <v>0</v>
      </c>
      <c r="M20" s="42">
        <f t="shared" si="53"/>
        <v>0</v>
      </c>
      <c r="N20" s="42">
        <f t="shared" si="53"/>
        <v>0</v>
      </c>
      <c r="O20" s="42">
        <f t="shared" si="53"/>
        <v>0</v>
      </c>
      <c r="P20" s="42">
        <f t="shared" si="53"/>
        <v>0</v>
      </c>
      <c r="Q20" s="171">
        <f t="shared" si="53"/>
        <v>0</v>
      </c>
      <c r="R20" s="42">
        <f t="shared" si="53"/>
        <v>0</v>
      </c>
      <c r="S20" s="42">
        <f t="shared" si="53"/>
        <v>0</v>
      </c>
      <c r="T20" s="42">
        <f t="shared" si="53"/>
        <v>0</v>
      </c>
      <c r="U20" s="42">
        <f t="shared" si="53"/>
        <v>0</v>
      </c>
      <c r="V20" s="171">
        <f t="shared" si="53"/>
        <v>0</v>
      </c>
      <c r="W20" s="42">
        <f t="shared" si="53"/>
        <v>0</v>
      </c>
      <c r="X20" s="42">
        <f t="shared" ref="X20:AD20" si="54">X150</f>
        <v>0</v>
      </c>
      <c r="Y20" s="42">
        <f t="shared" si="54"/>
        <v>0</v>
      </c>
      <c r="Z20" s="42">
        <f t="shared" si="54"/>
        <v>0</v>
      </c>
      <c r="AA20" s="171">
        <f t="shared" si="54"/>
        <v>0</v>
      </c>
      <c r="AB20" s="42">
        <f t="shared" si="54"/>
        <v>0</v>
      </c>
      <c r="AC20" s="42">
        <f t="shared" si="54"/>
        <v>0</v>
      </c>
      <c r="AD20" s="42">
        <f t="shared" si="54"/>
        <v>0</v>
      </c>
      <c r="AE20" s="42">
        <f>AE150</f>
        <v>0</v>
      </c>
      <c r="AF20" s="171">
        <f t="shared" si="53"/>
        <v>0</v>
      </c>
      <c r="AG20" s="42">
        <f t="shared" si="53"/>
        <v>0</v>
      </c>
      <c r="AH20" s="42">
        <f t="shared" si="53"/>
        <v>0</v>
      </c>
      <c r="AI20" s="42">
        <f t="shared" si="53"/>
        <v>0</v>
      </c>
      <c r="AJ20" s="42">
        <f t="shared" si="53"/>
        <v>0</v>
      </c>
      <c r="AK20" s="171">
        <f t="shared" ref="AK20:AP20" si="55">AK150</f>
        <v>0</v>
      </c>
      <c r="AL20" s="42">
        <f t="shared" si="55"/>
        <v>0</v>
      </c>
      <c r="AM20" s="42">
        <f t="shared" si="55"/>
        <v>0</v>
      </c>
      <c r="AN20" s="42">
        <f t="shared" si="55"/>
        <v>0</v>
      </c>
      <c r="AO20" s="42">
        <f t="shared" si="55"/>
        <v>0</v>
      </c>
      <c r="AP20" s="171">
        <f t="shared" si="55"/>
        <v>0</v>
      </c>
      <c r="AQ20" s="42">
        <f>AQ150</f>
        <v>0</v>
      </c>
      <c r="AR20" s="42">
        <f>AR150</f>
        <v>0</v>
      </c>
      <c r="AS20" s="42">
        <f>AS150</f>
        <v>0</v>
      </c>
      <c r="AT20" s="42">
        <f>AT150</f>
        <v>0</v>
      </c>
      <c r="AU20" s="171">
        <f>AU150</f>
        <v>0</v>
      </c>
      <c r="AV20" s="42">
        <f t="shared" ref="AV20:BA20" si="56">AV150</f>
        <v>0</v>
      </c>
      <c r="AW20" s="42">
        <f t="shared" si="56"/>
        <v>0</v>
      </c>
      <c r="AX20" s="42">
        <f t="shared" si="56"/>
        <v>0</v>
      </c>
      <c r="AY20" s="42">
        <f t="shared" si="56"/>
        <v>0</v>
      </c>
      <c r="AZ20" s="171">
        <f t="shared" si="56"/>
        <v>0</v>
      </c>
      <c r="BA20" s="42">
        <f t="shared" si="56"/>
        <v>0</v>
      </c>
      <c r="BB20" s="42">
        <f t="shared" ref="BB20:BG20" si="57">BB150</f>
        <v>0</v>
      </c>
      <c r="BC20" s="42">
        <f t="shared" si="57"/>
        <v>0</v>
      </c>
      <c r="BD20" s="42">
        <f t="shared" si="57"/>
        <v>0</v>
      </c>
      <c r="BE20" s="171">
        <f t="shared" si="57"/>
        <v>0</v>
      </c>
      <c r="BF20" s="42">
        <f t="shared" si="57"/>
        <v>0</v>
      </c>
      <c r="BG20" s="42">
        <f t="shared" si="57"/>
        <v>0</v>
      </c>
      <c r="BH20" s="42">
        <f t="shared" ref="BH20:BT20" si="58">BH150</f>
        <v>0</v>
      </c>
      <c r="BI20" s="42">
        <f t="shared" si="58"/>
        <v>0</v>
      </c>
      <c r="BJ20" s="171">
        <f t="shared" si="58"/>
        <v>0</v>
      </c>
      <c r="BK20" s="42">
        <f t="shared" si="58"/>
        <v>0</v>
      </c>
      <c r="BL20" s="42">
        <f t="shared" si="58"/>
        <v>0</v>
      </c>
      <c r="BM20" s="42">
        <f>BM150</f>
        <v>0</v>
      </c>
      <c r="BN20" s="374" t="e">
        <f t="shared" si="58"/>
        <v>#DIV/0!</v>
      </c>
      <c r="BO20" s="375" t="e">
        <f t="shared" si="58"/>
        <v>#DIV/0!</v>
      </c>
      <c r="BP20" s="374" t="e">
        <f t="shared" si="58"/>
        <v>#DIV/0!</v>
      </c>
      <c r="BQ20" s="374" t="e">
        <f t="shared" si="58"/>
        <v>#DIV/0!</v>
      </c>
      <c r="BR20" s="374" t="e">
        <f t="shared" si="58"/>
        <v>#DIV/0!</v>
      </c>
      <c r="BS20" s="374" t="e">
        <f t="shared" si="58"/>
        <v>#DIV/0!</v>
      </c>
      <c r="BT20" s="375" t="e">
        <f t="shared" si="58"/>
        <v>#DIV/0!</v>
      </c>
    </row>
    <row r="21" spans="1:72" s="182" customFormat="1" ht="13">
      <c r="A21" s="676">
        <f t="shared" si="11"/>
        <v>15</v>
      </c>
      <c r="B21" s="183" t="s">
        <v>171</v>
      </c>
      <c r="E21" s="282">
        <f>+E126</f>
        <v>0</v>
      </c>
      <c r="F21" s="282">
        <f t="shared" ref="F21:BO21" si="59">+F126</f>
        <v>0</v>
      </c>
      <c r="G21" s="282">
        <f t="shared" si="59"/>
        <v>0</v>
      </c>
      <c r="H21" s="283">
        <f t="shared" si="59"/>
        <v>0</v>
      </c>
      <c r="I21" s="283">
        <f t="shared" si="59"/>
        <v>0</v>
      </c>
      <c r="J21" s="283">
        <f t="shared" si="59"/>
        <v>0</v>
      </c>
      <c r="K21" s="283">
        <f t="shared" si="59"/>
        <v>0</v>
      </c>
      <c r="L21" s="282">
        <f t="shared" si="59"/>
        <v>0</v>
      </c>
      <c r="M21" s="283">
        <f t="shared" si="59"/>
        <v>0</v>
      </c>
      <c r="N21" s="283">
        <f t="shared" si="59"/>
        <v>0</v>
      </c>
      <c r="O21" s="283">
        <f t="shared" si="59"/>
        <v>0</v>
      </c>
      <c r="P21" s="283">
        <f t="shared" si="59"/>
        <v>0</v>
      </c>
      <c r="Q21" s="282">
        <f t="shared" si="59"/>
        <v>0</v>
      </c>
      <c r="R21" s="283">
        <f t="shared" si="59"/>
        <v>0</v>
      </c>
      <c r="S21" s="283">
        <f t="shared" si="59"/>
        <v>0</v>
      </c>
      <c r="T21" s="283">
        <f t="shared" si="59"/>
        <v>0</v>
      </c>
      <c r="U21" s="283">
        <f t="shared" si="59"/>
        <v>0</v>
      </c>
      <c r="V21" s="282">
        <f t="shared" si="59"/>
        <v>0</v>
      </c>
      <c r="W21" s="283">
        <f t="shared" si="59"/>
        <v>0</v>
      </c>
      <c r="X21" s="283">
        <f t="shared" si="59"/>
        <v>0</v>
      </c>
      <c r="Y21" s="283">
        <f t="shared" si="59"/>
        <v>0</v>
      </c>
      <c r="Z21" s="283">
        <f t="shared" si="59"/>
        <v>0</v>
      </c>
      <c r="AA21" s="282">
        <f t="shared" si="59"/>
        <v>0</v>
      </c>
      <c r="AB21" s="283">
        <f t="shared" si="59"/>
        <v>0</v>
      </c>
      <c r="AC21" s="283">
        <f t="shared" si="59"/>
        <v>0</v>
      </c>
      <c r="AD21" s="283">
        <f t="shared" si="59"/>
        <v>0</v>
      </c>
      <c r="AE21" s="283">
        <f t="shared" si="59"/>
        <v>0</v>
      </c>
      <c r="AF21" s="282">
        <f t="shared" si="59"/>
        <v>0</v>
      </c>
      <c r="AG21" s="283">
        <f t="shared" si="59"/>
        <v>0</v>
      </c>
      <c r="AH21" s="283">
        <f t="shared" si="59"/>
        <v>0</v>
      </c>
      <c r="AI21" s="283">
        <f t="shared" si="59"/>
        <v>0</v>
      </c>
      <c r="AJ21" s="283">
        <f t="shared" si="59"/>
        <v>0</v>
      </c>
      <c r="AK21" s="282">
        <f t="shared" si="59"/>
        <v>0</v>
      </c>
      <c r="AL21" s="283">
        <f t="shared" si="59"/>
        <v>0</v>
      </c>
      <c r="AM21" s="283">
        <f t="shared" si="59"/>
        <v>0</v>
      </c>
      <c r="AN21" s="283">
        <f t="shared" si="59"/>
        <v>0</v>
      </c>
      <c r="AO21" s="283">
        <f t="shared" si="59"/>
        <v>0</v>
      </c>
      <c r="AP21" s="282">
        <f t="shared" si="59"/>
        <v>0</v>
      </c>
      <c r="AQ21" s="283">
        <f t="shared" si="59"/>
        <v>0</v>
      </c>
      <c r="AR21" s="283">
        <f t="shared" ref="AR21:AW21" si="60">+AR126</f>
        <v>0</v>
      </c>
      <c r="AS21" s="283">
        <f t="shared" si="60"/>
        <v>0</v>
      </c>
      <c r="AT21" s="283">
        <f t="shared" si="60"/>
        <v>0</v>
      </c>
      <c r="AU21" s="282">
        <f t="shared" si="60"/>
        <v>0</v>
      </c>
      <c r="AV21" s="283">
        <f t="shared" si="60"/>
        <v>0</v>
      </c>
      <c r="AW21" s="283">
        <f t="shared" si="60"/>
        <v>0</v>
      </c>
      <c r="AX21" s="283">
        <f t="shared" ref="AX21:BF21" si="61">+AX126</f>
        <v>0</v>
      </c>
      <c r="AY21" s="283">
        <f t="shared" si="61"/>
        <v>0</v>
      </c>
      <c r="AZ21" s="282">
        <f t="shared" si="61"/>
        <v>0</v>
      </c>
      <c r="BA21" s="283">
        <f t="shared" si="61"/>
        <v>0</v>
      </c>
      <c r="BB21" s="283">
        <f t="shared" si="61"/>
        <v>0</v>
      </c>
      <c r="BC21" s="283">
        <f t="shared" si="61"/>
        <v>0</v>
      </c>
      <c r="BD21" s="283">
        <f t="shared" si="61"/>
        <v>0</v>
      </c>
      <c r="BE21" s="282">
        <f t="shared" si="61"/>
        <v>0</v>
      </c>
      <c r="BF21" s="283">
        <f t="shared" si="61"/>
        <v>0</v>
      </c>
      <c r="BG21" s="283">
        <f t="shared" ref="BG21:BL21" si="62">+BG126</f>
        <v>0</v>
      </c>
      <c r="BH21" s="283">
        <f t="shared" si="62"/>
        <v>0</v>
      </c>
      <c r="BI21" s="283">
        <f t="shared" si="62"/>
        <v>0</v>
      </c>
      <c r="BJ21" s="282">
        <f t="shared" si="62"/>
        <v>0</v>
      </c>
      <c r="BK21" s="283">
        <f t="shared" si="62"/>
        <v>0</v>
      </c>
      <c r="BL21" s="283">
        <f t="shared" si="62"/>
        <v>0</v>
      </c>
      <c r="BM21" s="283">
        <f>+BM126</f>
        <v>0</v>
      </c>
      <c r="BN21" s="422" t="e">
        <f t="shared" si="59"/>
        <v>#DIV/0!</v>
      </c>
      <c r="BO21" s="438" t="e">
        <f t="shared" si="59"/>
        <v>#DIV/0!</v>
      </c>
      <c r="BP21" s="422" t="e">
        <f>+BP126</f>
        <v>#DIV/0!</v>
      </c>
      <c r="BQ21" s="422" t="e">
        <f>+BQ126</f>
        <v>#DIV/0!</v>
      </c>
      <c r="BR21" s="422" t="e">
        <f>+BR126</f>
        <v>#DIV/0!</v>
      </c>
      <c r="BS21" s="422" t="e">
        <f>+BS126</f>
        <v>#DIV/0!</v>
      </c>
      <c r="BT21" s="438" t="e">
        <f>+BT126</f>
        <v>#DIV/0!</v>
      </c>
    </row>
    <row r="22" spans="1:72" s="182" customFormat="1" ht="13">
      <c r="A22" s="676">
        <f t="shared" si="11"/>
        <v>16</v>
      </c>
      <c r="B22" s="185" t="s">
        <v>172</v>
      </c>
      <c r="C22" s="188"/>
      <c r="D22" s="188"/>
      <c r="E22" s="239">
        <f t="shared" ref="E22:BJ22" si="63">+E14+SUM(E18:E21)</f>
        <v>0</v>
      </c>
      <c r="F22" s="239">
        <f t="shared" si="63"/>
        <v>0</v>
      </c>
      <c r="G22" s="239">
        <f t="shared" si="63"/>
        <v>0</v>
      </c>
      <c r="H22" s="44">
        <f t="shared" si="63"/>
        <v>0</v>
      </c>
      <c r="I22" s="44">
        <f t="shared" si="63"/>
        <v>0</v>
      </c>
      <c r="J22" s="44">
        <f t="shared" si="63"/>
        <v>0</v>
      </c>
      <c r="K22" s="44">
        <f t="shared" si="63"/>
        <v>0</v>
      </c>
      <c r="L22" s="239">
        <f t="shared" si="63"/>
        <v>0</v>
      </c>
      <c r="M22" s="44">
        <f t="shared" si="63"/>
        <v>0</v>
      </c>
      <c r="N22" s="44">
        <f t="shared" si="63"/>
        <v>0</v>
      </c>
      <c r="O22" s="44">
        <f t="shared" si="63"/>
        <v>0</v>
      </c>
      <c r="P22" s="44">
        <f t="shared" si="63"/>
        <v>0</v>
      </c>
      <c r="Q22" s="239">
        <f t="shared" si="63"/>
        <v>0</v>
      </c>
      <c r="R22" s="44">
        <f t="shared" si="63"/>
        <v>0</v>
      </c>
      <c r="S22" s="44">
        <f t="shared" si="63"/>
        <v>0</v>
      </c>
      <c r="T22" s="44">
        <f t="shared" si="63"/>
        <v>0</v>
      </c>
      <c r="U22" s="44">
        <f t="shared" si="63"/>
        <v>0</v>
      </c>
      <c r="V22" s="239">
        <f t="shared" si="63"/>
        <v>0</v>
      </c>
      <c r="W22" s="44">
        <f t="shared" si="63"/>
        <v>0</v>
      </c>
      <c r="X22" s="44">
        <f t="shared" si="63"/>
        <v>0</v>
      </c>
      <c r="Y22" s="44">
        <f t="shared" si="63"/>
        <v>0</v>
      </c>
      <c r="Z22" s="44">
        <f t="shared" si="63"/>
        <v>0</v>
      </c>
      <c r="AA22" s="239">
        <f t="shared" si="63"/>
        <v>0</v>
      </c>
      <c r="AB22" s="44">
        <f t="shared" si="63"/>
        <v>0</v>
      </c>
      <c r="AC22" s="44">
        <f t="shared" si="63"/>
        <v>0</v>
      </c>
      <c r="AD22" s="44">
        <f t="shared" si="63"/>
        <v>0</v>
      </c>
      <c r="AE22" s="44">
        <f t="shared" si="63"/>
        <v>0</v>
      </c>
      <c r="AF22" s="239">
        <f t="shared" si="63"/>
        <v>0</v>
      </c>
      <c r="AG22" s="44">
        <f t="shared" si="63"/>
        <v>0</v>
      </c>
      <c r="AH22" s="44">
        <f t="shared" si="63"/>
        <v>0</v>
      </c>
      <c r="AI22" s="44">
        <f t="shared" si="63"/>
        <v>0</v>
      </c>
      <c r="AJ22" s="44">
        <f t="shared" si="63"/>
        <v>0</v>
      </c>
      <c r="AK22" s="239">
        <f t="shared" si="63"/>
        <v>0</v>
      </c>
      <c r="AL22" s="44">
        <f t="shared" si="63"/>
        <v>0</v>
      </c>
      <c r="AM22" s="44">
        <f t="shared" si="63"/>
        <v>0</v>
      </c>
      <c r="AN22" s="44">
        <f t="shared" si="63"/>
        <v>0</v>
      </c>
      <c r="AO22" s="44">
        <f t="shared" si="63"/>
        <v>0</v>
      </c>
      <c r="AP22" s="239">
        <f t="shared" si="63"/>
        <v>0</v>
      </c>
      <c r="AQ22" s="44">
        <f t="shared" si="63"/>
        <v>0</v>
      </c>
      <c r="AR22" s="44">
        <f t="shared" si="63"/>
        <v>0</v>
      </c>
      <c r="AS22" s="44">
        <f t="shared" si="63"/>
        <v>0</v>
      </c>
      <c r="AT22" s="44">
        <f t="shared" si="63"/>
        <v>0</v>
      </c>
      <c r="AU22" s="239">
        <f t="shared" si="63"/>
        <v>0</v>
      </c>
      <c r="AV22" s="44">
        <f t="shared" si="63"/>
        <v>0</v>
      </c>
      <c r="AW22" s="44">
        <f t="shared" si="63"/>
        <v>0</v>
      </c>
      <c r="AX22" s="44">
        <f t="shared" si="63"/>
        <v>0</v>
      </c>
      <c r="AY22" s="44">
        <f t="shared" si="63"/>
        <v>0</v>
      </c>
      <c r="AZ22" s="239">
        <f t="shared" si="63"/>
        <v>0</v>
      </c>
      <c r="BA22" s="44">
        <f t="shared" si="63"/>
        <v>0</v>
      </c>
      <c r="BB22" s="44">
        <f t="shared" si="63"/>
        <v>0</v>
      </c>
      <c r="BC22" s="44">
        <f t="shared" si="63"/>
        <v>0</v>
      </c>
      <c r="BD22" s="44">
        <f t="shared" si="63"/>
        <v>0</v>
      </c>
      <c r="BE22" s="239">
        <f t="shared" si="63"/>
        <v>0</v>
      </c>
      <c r="BF22" s="44">
        <f t="shared" si="63"/>
        <v>0</v>
      </c>
      <c r="BG22" s="44">
        <f t="shared" si="63"/>
        <v>0</v>
      </c>
      <c r="BH22" s="44">
        <f t="shared" si="63"/>
        <v>0</v>
      </c>
      <c r="BI22" s="44">
        <f t="shared" si="63"/>
        <v>0</v>
      </c>
      <c r="BJ22" s="239">
        <f t="shared" si="63"/>
        <v>0</v>
      </c>
      <c r="BK22" s="44">
        <f>+BK14+SUM(BK18:BK21)</f>
        <v>0</v>
      </c>
      <c r="BL22" s="44">
        <f>+BL14+SUM(BL18:BL21)</f>
        <v>0</v>
      </c>
      <c r="BM22" s="44">
        <f>+BM14+SUM(BM18:BM21)</f>
        <v>0</v>
      </c>
      <c r="BN22" s="371" t="e">
        <f t="shared" ref="BN22:BT22" si="64">+BN14+SUM(BN18:BN21)</f>
        <v>#DIV/0!</v>
      </c>
      <c r="BO22" s="372" t="e">
        <f t="shared" si="64"/>
        <v>#DIV/0!</v>
      </c>
      <c r="BP22" s="371" t="e">
        <f t="shared" si="64"/>
        <v>#DIV/0!</v>
      </c>
      <c r="BQ22" s="371" t="e">
        <f t="shared" si="64"/>
        <v>#DIV/0!</v>
      </c>
      <c r="BR22" s="371" t="e">
        <f t="shared" si="64"/>
        <v>#DIV/0!</v>
      </c>
      <c r="BS22" s="371" t="e">
        <f t="shared" si="64"/>
        <v>#DIV/0!</v>
      </c>
      <c r="BT22" s="372" t="e">
        <f t="shared" si="64"/>
        <v>#DIV/0!</v>
      </c>
    </row>
    <row r="23" spans="1:72" s="182" customFormat="1" ht="13">
      <c r="A23" s="676">
        <f t="shared" si="11"/>
        <v>17</v>
      </c>
      <c r="B23" s="183" t="s">
        <v>173</v>
      </c>
      <c r="E23" s="194" t="e">
        <f t="shared" ref="E23:AF23" si="65">E22/E8</f>
        <v>#DIV/0!</v>
      </c>
      <c r="F23" s="194" t="e">
        <f t="shared" si="65"/>
        <v>#DIV/0!</v>
      </c>
      <c r="G23" s="194" t="e">
        <f t="shared" si="65"/>
        <v>#DIV/0!</v>
      </c>
      <c r="H23" s="195" t="e">
        <f t="shared" si="65"/>
        <v>#DIV/0!</v>
      </c>
      <c r="I23" s="195" t="e">
        <f t="shared" si="65"/>
        <v>#DIV/0!</v>
      </c>
      <c r="J23" s="195" t="e">
        <f t="shared" si="65"/>
        <v>#DIV/0!</v>
      </c>
      <c r="K23" s="195" t="e">
        <f t="shared" si="65"/>
        <v>#DIV/0!</v>
      </c>
      <c r="L23" s="194" t="e">
        <f t="shared" si="65"/>
        <v>#DIV/0!</v>
      </c>
      <c r="M23" s="195" t="e">
        <f t="shared" si="65"/>
        <v>#DIV/0!</v>
      </c>
      <c r="N23" s="195" t="e">
        <f t="shared" si="65"/>
        <v>#DIV/0!</v>
      </c>
      <c r="O23" s="195" t="e">
        <f t="shared" si="65"/>
        <v>#DIV/0!</v>
      </c>
      <c r="P23" s="195" t="e">
        <f t="shared" si="65"/>
        <v>#DIV/0!</v>
      </c>
      <c r="Q23" s="194" t="e">
        <f t="shared" si="65"/>
        <v>#DIV/0!</v>
      </c>
      <c r="R23" s="195" t="e">
        <f t="shared" si="65"/>
        <v>#DIV/0!</v>
      </c>
      <c r="S23" s="195" t="e">
        <f t="shared" si="65"/>
        <v>#DIV/0!</v>
      </c>
      <c r="T23" s="195" t="e">
        <f t="shared" si="65"/>
        <v>#DIV/0!</v>
      </c>
      <c r="U23" s="195" t="e">
        <f t="shared" si="65"/>
        <v>#DIV/0!</v>
      </c>
      <c r="V23" s="194" t="e">
        <f t="shared" si="65"/>
        <v>#DIV/0!</v>
      </c>
      <c r="W23" s="195" t="e">
        <f t="shared" si="65"/>
        <v>#DIV/0!</v>
      </c>
      <c r="X23" s="195" t="e">
        <f>X22/X8</f>
        <v>#DIV/0!</v>
      </c>
      <c r="Y23" s="195" t="e">
        <f>Y22/Y8</f>
        <v>#DIV/0!</v>
      </c>
      <c r="Z23" s="195" t="e">
        <f t="shared" si="65"/>
        <v>#DIV/0!</v>
      </c>
      <c r="AA23" s="194" t="e">
        <f t="shared" si="65"/>
        <v>#DIV/0!</v>
      </c>
      <c r="AB23" s="195" t="e">
        <f t="shared" si="65"/>
        <v>#DIV/0!</v>
      </c>
      <c r="AC23" s="195" t="e">
        <f>AC22/AC8</f>
        <v>#DIV/0!</v>
      </c>
      <c r="AD23" s="195" t="e">
        <f>AD22/AD8</f>
        <v>#DIV/0!</v>
      </c>
      <c r="AE23" s="195" t="e">
        <f>AE22/AE8</f>
        <v>#DIV/0!</v>
      </c>
      <c r="AF23" s="194" t="e">
        <f t="shared" si="65"/>
        <v>#DIV/0!</v>
      </c>
      <c r="AG23" s="195" t="e">
        <f t="shared" ref="AG23:AQ23" si="66">AG22/AG8</f>
        <v>#DIV/0!</v>
      </c>
      <c r="AH23" s="195" t="e">
        <f t="shared" si="66"/>
        <v>#DIV/0!</v>
      </c>
      <c r="AI23" s="195" t="e">
        <f t="shared" si="66"/>
        <v>#DIV/0!</v>
      </c>
      <c r="AJ23" s="195" t="e">
        <f t="shared" si="66"/>
        <v>#DIV/0!</v>
      </c>
      <c r="AK23" s="194" t="e">
        <f t="shared" si="66"/>
        <v>#DIV/0!</v>
      </c>
      <c r="AL23" s="195" t="e">
        <f t="shared" si="66"/>
        <v>#DIV/0!</v>
      </c>
      <c r="AM23" s="195" t="e">
        <f t="shared" si="66"/>
        <v>#DIV/0!</v>
      </c>
      <c r="AN23" s="195" t="e">
        <f t="shared" si="66"/>
        <v>#DIV/0!</v>
      </c>
      <c r="AO23" s="195" t="e">
        <f t="shared" si="66"/>
        <v>#DIV/0!</v>
      </c>
      <c r="AP23" s="194" t="e">
        <f t="shared" si="66"/>
        <v>#DIV/0!</v>
      </c>
      <c r="AQ23" s="195" t="e">
        <f t="shared" si="66"/>
        <v>#DIV/0!</v>
      </c>
      <c r="AR23" s="195" t="e">
        <f t="shared" ref="AR23:AW23" si="67">AR22/AR8</f>
        <v>#DIV/0!</v>
      </c>
      <c r="AS23" s="195" t="e">
        <f t="shared" si="67"/>
        <v>#DIV/0!</v>
      </c>
      <c r="AT23" s="195" t="e">
        <f t="shared" si="67"/>
        <v>#DIV/0!</v>
      </c>
      <c r="AU23" s="194" t="e">
        <f t="shared" si="67"/>
        <v>#DIV/0!</v>
      </c>
      <c r="AV23" s="195" t="e">
        <f t="shared" si="67"/>
        <v>#DIV/0!</v>
      </c>
      <c r="AW23" s="195" t="e">
        <f t="shared" si="67"/>
        <v>#DIV/0!</v>
      </c>
      <c r="AX23" s="195" t="e">
        <f t="shared" ref="AX23:BG23" si="68">AX22/AX8</f>
        <v>#DIV/0!</v>
      </c>
      <c r="AY23" s="195" t="e">
        <f t="shared" si="68"/>
        <v>#DIV/0!</v>
      </c>
      <c r="AZ23" s="194" t="e">
        <f t="shared" si="68"/>
        <v>#DIV/0!</v>
      </c>
      <c r="BA23" s="195" t="e">
        <f t="shared" si="68"/>
        <v>#DIV/0!</v>
      </c>
      <c r="BB23" s="195" t="e">
        <f t="shared" si="68"/>
        <v>#DIV/0!</v>
      </c>
      <c r="BC23" s="195" t="e">
        <f t="shared" si="68"/>
        <v>#DIV/0!</v>
      </c>
      <c r="BD23" s="195" t="e">
        <f t="shared" si="68"/>
        <v>#DIV/0!</v>
      </c>
      <c r="BE23" s="194" t="e">
        <f t="shared" si="68"/>
        <v>#DIV/0!</v>
      </c>
      <c r="BF23" s="195" t="e">
        <f t="shared" si="68"/>
        <v>#DIV/0!</v>
      </c>
      <c r="BG23" s="195" t="e">
        <f t="shared" si="68"/>
        <v>#DIV/0!</v>
      </c>
      <c r="BH23" s="195" t="e">
        <f t="shared" ref="BH23:BT23" si="69">BH22/BH8</f>
        <v>#DIV/0!</v>
      </c>
      <c r="BI23" s="195" t="e">
        <f t="shared" si="69"/>
        <v>#DIV/0!</v>
      </c>
      <c r="BJ23" s="194" t="e">
        <f t="shared" si="69"/>
        <v>#DIV/0!</v>
      </c>
      <c r="BK23" s="195" t="e">
        <f t="shared" si="69"/>
        <v>#DIV/0!</v>
      </c>
      <c r="BL23" s="195" t="e">
        <f t="shared" si="69"/>
        <v>#DIV/0!</v>
      </c>
      <c r="BM23" s="195" t="e">
        <f>BM22/BM8</f>
        <v>#DIV/0!</v>
      </c>
      <c r="BN23" s="376" t="e">
        <f t="shared" si="69"/>
        <v>#DIV/0!</v>
      </c>
      <c r="BO23" s="377" t="e">
        <f t="shared" si="69"/>
        <v>#DIV/0!</v>
      </c>
      <c r="BP23" s="376" t="e">
        <f t="shared" si="69"/>
        <v>#DIV/0!</v>
      </c>
      <c r="BQ23" s="376" t="e">
        <f t="shared" si="69"/>
        <v>#DIV/0!</v>
      </c>
      <c r="BR23" s="376" t="e">
        <f t="shared" si="69"/>
        <v>#DIV/0!</v>
      </c>
      <c r="BS23" s="376" t="e">
        <f t="shared" si="69"/>
        <v>#DIV/0!</v>
      </c>
      <c r="BT23" s="377" t="e">
        <f t="shared" si="69"/>
        <v>#DIV/0!</v>
      </c>
    </row>
    <row r="24" spans="1:72" s="182" customFormat="1" ht="13">
      <c r="A24" s="676">
        <f t="shared" si="11"/>
        <v>18</v>
      </c>
      <c r="E24" s="237"/>
      <c r="F24" s="237"/>
      <c r="G24" s="237"/>
      <c r="H24" s="241"/>
      <c r="I24" s="241"/>
      <c r="J24" s="241"/>
      <c r="K24" s="241"/>
      <c r="L24" s="237"/>
      <c r="M24" s="241"/>
      <c r="N24" s="241"/>
      <c r="O24" s="241"/>
      <c r="P24" s="241"/>
      <c r="Q24" s="237"/>
      <c r="R24" s="241"/>
      <c r="S24" s="241"/>
      <c r="T24" s="241"/>
      <c r="U24" s="241"/>
      <c r="V24" s="237"/>
      <c r="W24" s="241"/>
      <c r="X24" s="241"/>
      <c r="Y24" s="241"/>
      <c r="Z24" s="241"/>
      <c r="AA24" s="237"/>
      <c r="AB24" s="241"/>
      <c r="AC24" s="241"/>
      <c r="AD24" s="241"/>
      <c r="AE24" s="241"/>
      <c r="AF24" s="237"/>
      <c r="AG24" s="241"/>
      <c r="AH24" s="241"/>
      <c r="AI24" s="241"/>
      <c r="AJ24" s="241"/>
      <c r="AK24" s="237"/>
      <c r="AL24" s="241"/>
      <c r="AM24" s="241"/>
      <c r="AN24" s="241"/>
      <c r="AO24" s="241"/>
      <c r="AP24" s="237"/>
      <c r="AQ24" s="241"/>
      <c r="AR24" s="241"/>
      <c r="AS24" s="241"/>
      <c r="AT24" s="241"/>
      <c r="AU24" s="237"/>
      <c r="AV24" s="241"/>
      <c r="AW24" s="241"/>
      <c r="AX24" s="241"/>
      <c r="AY24" s="241"/>
      <c r="AZ24" s="237"/>
      <c r="BA24" s="241"/>
      <c r="BB24" s="241"/>
      <c r="BC24" s="241"/>
      <c r="BD24" s="241"/>
      <c r="BE24" s="237"/>
      <c r="BF24" s="241"/>
      <c r="BG24" s="241"/>
      <c r="BH24" s="241"/>
      <c r="BI24" s="241"/>
      <c r="BJ24" s="237"/>
      <c r="BK24" s="241"/>
      <c r="BL24" s="241"/>
      <c r="BM24" s="241"/>
      <c r="BN24" s="378"/>
      <c r="BO24" s="369"/>
      <c r="BP24" s="378"/>
      <c r="BQ24" s="378"/>
      <c r="BR24" s="378"/>
      <c r="BS24" s="378"/>
      <c r="BT24" s="369"/>
    </row>
    <row r="25" spans="1:72" s="182" customFormat="1" ht="13">
      <c r="A25" s="676">
        <f t="shared" si="11"/>
        <v>19</v>
      </c>
      <c r="B25" s="183"/>
      <c r="E25" s="237"/>
      <c r="F25" s="237"/>
      <c r="G25" s="237"/>
      <c r="H25" s="40"/>
      <c r="I25" s="40"/>
      <c r="J25" s="40"/>
      <c r="K25" s="40"/>
      <c r="L25" s="237"/>
      <c r="M25" s="40"/>
      <c r="N25" s="40"/>
      <c r="O25" s="40"/>
      <c r="P25" s="40"/>
      <c r="Q25" s="237"/>
      <c r="R25" s="40"/>
      <c r="S25" s="40"/>
      <c r="T25" s="40"/>
      <c r="U25" s="40"/>
      <c r="V25" s="237"/>
      <c r="W25" s="40"/>
      <c r="X25" s="40"/>
      <c r="Y25" s="40"/>
      <c r="Z25" s="40"/>
      <c r="AA25" s="237"/>
      <c r="AB25" s="40"/>
      <c r="AC25" s="40"/>
      <c r="AD25" s="40"/>
      <c r="AE25" s="40"/>
      <c r="AF25" s="237"/>
      <c r="AG25" s="40"/>
      <c r="AH25" s="40"/>
      <c r="AI25" s="40"/>
      <c r="AJ25" s="40"/>
      <c r="AK25" s="237"/>
      <c r="AL25" s="40"/>
      <c r="AM25" s="40"/>
      <c r="AN25" s="40"/>
      <c r="AO25" s="40"/>
      <c r="AP25" s="237"/>
      <c r="AQ25" s="40"/>
      <c r="AR25" s="40"/>
      <c r="AS25" s="40"/>
      <c r="AT25" s="40"/>
      <c r="AU25" s="237"/>
      <c r="AV25" s="40"/>
      <c r="AW25" s="40"/>
      <c r="AX25" s="40"/>
      <c r="AY25" s="40"/>
      <c r="AZ25" s="237"/>
      <c r="BA25" s="40"/>
      <c r="BB25" s="40"/>
      <c r="BC25" s="40"/>
      <c r="BD25" s="40"/>
      <c r="BE25" s="237"/>
      <c r="BF25" s="40"/>
      <c r="BG25" s="40"/>
      <c r="BH25" s="40"/>
      <c r="BI25" s="40"/>
      <c r="BJ25" s="237"/>
      <c r="BK25" s="40"/>
      <c r="BL25" s="40"/>
      <c r="BM25" s="40"/>
      <c r="BN25" s="368"/>
      <c r="BO25" s="369"/>
      <c r="BP25" s="368"/>
      <c r="BQ25" s="368"/>
      <c r="BR25" s="368"/>
      <c r="BS25" s="368"/>
      <c r="BT25" s="369"/>
    </row>
    <row r="26" spans="1:72" s="182" customFormat="1" ht="13">
      <c r="A26" s="676">
        <f t="shared" si="11"/>
        <v>20</v>
      </c>
      <c r="B26" s="183" t="s">
        <v>174</v>
      </c>
      <c r="E26" s="237">
        <f>E147</f>
        <v>0</v>
      </c>
      <c r="F26" s="237">
        <f t="shared" ref="F26:AJ26" si="70">F147</f>
        <v>0</v>
      </c>
      <c r="G26" s="237">
        <f t="shared" si="70"/>
        <v>0</v>
      </c>
      <c r="H26" s="40">
        <f t="shared" si="70"/>
        <v>0</v>
      </c>
      <c r="I26" s="40">
        <f t="shared" si="70"/>
        <v>0</v>
      </c>
      <c r="J26" s="40">
        <f t="shared" si="70"/>
        <v>0</v>
      </c>
      <c r="K26" s="40">
        <f t="shared" si="70"/>
        <v>0</v>
      </c>
      <c r="L26" s="237">
        <f t="shared" si="70"/>
        <v>0</v>
      </c>
      <c r="M26" s="40">
        <f t="shared" si="70"/>
        <v>0</v>
      </c>
      <c r="N26" s="40">
        <f t="shared" si="70"/>
        <v>0</v>
      </c>
      <c r="O26" s="40">
        <f t="shared" si="70"/>
        <v>0</v>
      </c>
      <c r="P26" s="40">
        <f t="shared" si="70"/>
        <v>0</v>
      </c>
      <c r="Q26" s="237">
        <f t="shared" si="70"/>
        <v>0</v>
      </c>
      <c r="R26" s="40">
        <f t="shared" si="70"/>
        <v>0</v>
      </c>
      <c r="S26" s="40">
        <f t="shared" si="70"/>
        <v>0</v>
      </c>
      <c r="T26" s="40">
        <f t="shared" si="70"/>
        <v>0</v>
      </c>
      <c r="U26" s="40">
        <f t="shared" si="70"/>
        <v>0</v>
      </c>
      <c r="V26" s="237">
        <f t="shared" si="70"/>
        <v>0</v>
      </c>
      <c r="W26" s="40">
        <f t="shared" si="70"/>
        <v>0</v>
      </c>
      <c r="X26" s="40">
        <f t="shared" ref="X26:AD26" si="71">X147</f>
        <v>0</v>
      </c>
      <c r="Y26" s="40">
        <f t="shared" si="71"/>
        <v>0</v>
      </c>
      <c r="Z26" s="40">
        <f t="shared" si="71"/>
        <v>0</v>
      </c>
      <c r="AA26" s="237">
        <f t="shared" si="71"/>
        <v>0</v>
      </c>
      <c r="AB26" s="40">
        <f t="shared" si="71"/>
        <v>0</v>
      </c>
      <c r="AC26" s="40">
        <f t="shared" si="71"/>
        <v>0</v>
      </c>
      <c r="AD26" s="40">
        <f t="shared" si="71"/>
        <v>0</v>
      </c>
      <c r="AE26" s="40">
        <f>AE147</f>
        <v>0</v>
      </c>
      <c r="AF26" s="237">
        <f t="shared" si="70"/>
        <v>0</v>
      </c>
      <c r="AG26" s="40">
        <f t="shared" si="70"/>
        <v>0</v>
      </c>
      <c r="AH26" s="40">
        <f t="shared" si="70"/>
        <v>0</v>
      </c>
      <c r="AI26" s="40">
        <f t="shared" si="70"/>
        <v>0</v>
      </c>
      <c r="AJ26" s="40">
        <f t="shared" si="70"/>
        <v>0</v>
      </c>
      <c r="AK26" s="237">
        <f t="shared" ref="AK26:AP26" si="72">AK147</f>
        <v>0</v>
      </c>
      <c r="AL26" s="40">
        <f t="shared" si="72"/>
        <v>0</v>
      </c>
      <c r="AM26" s="40">
        <f t="shared" si="72"/>
        <v>0</v>
      </c>
      <c r="AN26" s="40">
        <f t="shared" si="72"/>
        <v>0</v>
      </c>
      <c r="AO26" s="40">
        <f t="shared" si="72"/>
        <v>0</v>
      </c>
      <c r="AP26" s="237">
        <f t="shared" si="72"/>
        <v>0</v>
      </c>
      <c r="AQ26" s="40">
        <f>AQ147</f>
        <v>0</v>
      </c>
      <c r="AR26" s="40">
        <f>AR147</f>
        <v>0</v>
      </c>
      <c r="AS26" s="40">
        <f>AS147</f>
        <v>0</v>
      </c>
      <c r="AT26" s="40">
        <f>AT147</f>
        <v>0</v>
      </c>
      <c r="AU26" s="237">
        <f>AU147</f>
        <v>0</v>
      </c>
      <c r="AV26" s="40">
        <f t="shared" ref="AV26:BA26" si="73">AV147</f>
        <v>0</v>
      </c>
      <c r="AW26" s="40">
        <f t="shared" si="73"/>
        <v>0</v>
      </c>
      <c r="AX26" s="40">
        <f t="shared" si="73"/>
        <v>0</v>
      </c>
      <c r="AY26" s="40">
        <f t="shared" si="73"/>
        <v>0</v>
      </c>
      <c r="AZ26" s="237">
        <f t="shared" si="73"/>
        <v>0</v>
      </c>
      <c r="BA26" s="40">
        <f t="shared" si="73"/>
        <v>0</v>
      </c>
      <c r="BB26" s="40">
        <f t="shared" ref="BB26:BG26" si="74">BB147</f>
        <v>0</v>
      </c>
      <c r="BC26" s="40">
        <f t="shared" si="74"/>
        <v>0</v>
      </c>
      <c r="BD26" s="40">
        <f t="shared" si="74"/>
        <v>0</v>
      </c>
      <c r="BE26" s="237">
        <f t="shared" si="74"/>
        <v>0</v>
      </c>
      <c r="BF26" s="40">
        <f t="shared" si="74"/>
        <v>0</v>
      </c>
      <c r="BG26" s="40">
        <f t="shared" si="74"/>
        <v>0</v>
      </c>
      <c r="BH26" s="40">
        <f t="shared" ref="BH26:BT26" si="75">BH147</f>
        <v>0</v>
      </c>
      <c r="BI26" s="40">
        <f t="shared" si="75"/>
        <v>0</v>
      </c>
      <c r="BJ26" s="237">
        <f t="shared" si="75"/>
        <v>0</v>
      </c>
      <c r="BK26" s="40">
        <f t="shared" si="75"/>
        <v>0</v>
      </c>
      <c r="BL26" s="40">
        <f t="shared" si="75"/>
        <v>0</v>
      </c>
      <c r="BM26" s="40">
        <f>BM147</f>
        <v>0</v>
      </c>
      <c r="BN26" s="368" t="e">
        <f t="shared" si="75"/>
        <v>#DIV/0!</v>
      </c>
      <c r="BO26" s="369" t="e">
        <f t="shared" si="75"/>
        <v>#DIV/0!</v>
      </c>
      <c r="BP26" s="368" t="e">
        <f t="shared" si="75"/>
        <v>#DIV/0!</v>
      </c>
      <c r="BQ26" s="368" t="e">
        <f t="shared" si="75"/>
        <v>#DIV/0!</v>
      </c>
      <c r="BR26" s="368" t="e">
        <f t="shared" si="75"/>
        <v>#DIV/0!</v>
      </c>
      <c r="BS26" s="368" t="e">
        <f t="shared" si="75"/>
        <v>#DIV/0!</v>
      </c>
      <c r="BT26" s="369" t="e">
        <f t="shared" si="75"/>
        <v>#DIV/0!</v>
      </c>
    </row>
    <row r="27" spans="1:72" s="182" customFormat="1" ht="13">
      <c r="A27" s="676">
        <f t="shared" si="11"/>
        <v>21</v>
      </c>
      <c r="B27" s="183" t="s">
        <v>175</v>
      </c>
      <c r="E27" s="237">
        <f t="shared" ref="E27:Q27" si="76">E177</f>
        <v>0</v>
      </c>
      <c r="F27" s="640">
        <f t="shared" si="76"/>
        <v>0</v>
      </c>
      <c r="G27" s="237">
        <f t="shared" si="76"/>
        <v>0</v>
      </c>
      <c r="H27" s="40">
        <f t="shared" si="76"/>
        <v>0</v>
      </c>
      <c r="I27" s="40">
        <f t="shared" si="76"/>
        <v>0</v>
      </c>
      <c r="J27" s="40">
        <f t="shared" si="76"/>
        <v>0</v>
      </c>
      <c r="K27" s="40">
        <f t="shared" si="76"/>
        <v>0</v>
      </c>
      <c r="L27" s="237">
        <f t="shared" si="76"/>
        <v>0</v>
      </c>
      <c r="M27" s="40">
        <f t="shared" si="76"/>
        <v>0</v>
      </c>
      <c r="N27" s="40">
        <f t="shared" si="76"/>
        <v>0</v>
      </c>
      <c r="O27" s="40">
        <f t="shared" si="76"/>
        <v>0</v>
      </c>
      <c r="P27" s="40">
        <f t="shared" si="76"/>
        <v>0</v>
      </c>
      <c r="Q27" s="237">
        <f t="shared" si="76"/>
        <v>0</v>
      </c>
      <c r="R27" s="40">
        <f t="shared" ref="R27:AJ27" si="77">R177</f>
        <v>0</v>
      </c>
      <c r="S27" s="40">
        <f t="shared" si="77"/>
        <v>0</v>
      </c>
      <c r="T27" s="40">
        <f t="shared" si="77"/>
        <v>0</v>
      </c>
      <c r="U27" s="40">
        <f t="shared" si="77"/>
        <v>0</v>
      </c>
      <c r="V27" s="237">
        <f t="shared" si="77"/>
        <v>0</v>
      </c>
      <c r="W27" s="40">
        <f t="shared" si="77"/>
        <v>0</v>
      </c>
      <c r="X27" s="40">
        <f t="shared" ref="X27:AD27" si="78">X177</f>
        <v>0</v>
      </c>
      <c r="Y27" s="40">
        <f t="shared" si="78"/>
        <v>0</v>
      </c>
      <c r="Z27" s="40">
        <f t="shared" si="78"/>
        <v>0</v>
      </c>
      <c r="AA27" s="237">
        <f t="shared" si="78"/>
        <v>0</v>
      </c>
      <c r="AB27" s="40">
        <f t="shared" si="78"/>
        <v>0</v>
      </c>
      <c r="AC27" s="40">
        <f t="shared" si="78"/>
        <v>0</v>
      </c>
      <c r="AD27" s="40">
        <f t="shared" si="78"/>
        <v>0</v>
      </c>
      <c r="AE27" s="40">
        <f>AE177</f>
        <v>0</v>
      </c>
      <c r="AF27" s="237">
        <f t="shared" si="77"/>
        <v>0</v>
      </c>
      <c r="AG27" s="40">
        <f t="shared" si="77"/>
        <v>0</v>
      </c>
      <c r="AH27" s="40">
        <f t="shared" si="77"/>
        <v>0</v>
      </c>
      <c r="AI27" s="40">
        <f t="shared" si="77"/>
        <v>0</v>
      </c>
      <c r="AJ27" s="40">
        <f t="shared" si="77"/>
        <v>0</v>
      </c>
      <c r="AK27" s="237">
        <f t="shared" ref="AK27:AP27" si="79">AK177</f>
        <v>0</v>
      </c>
      <c r="AL27" s="40">
        <f t="shared" si="79"/>
        <v>0</v>
      </c>
      <c r="AM27" s="40">
        <f t="shared" si="79"/>
        <v>0</v>
      </c>
      <c r="AN27" s="40">
        <f t="shared" si="79"/>
        <v>0</v>
      </c>
      <c r="AO27" s="40">
        <f t="shared" si="79"/>
        <v>0</v>
      </c>
      <c r="AP27" s="237">
        <f t="shared" si="79"/>
        <v>0</v>
      </c>
      <c r="AQ27" s="40">
        <f>AQ177</f>
        <v>0</v>
      </c>
      <c r="AR27" s="40">
        <f>AR177</f>
        <v>0</v>
      </c>
      <c r="AS27" s="40">
        <f>AS177</f>
        <v>0</v>
      </c>
      <c r="AT27" s="40">
        <f>AT177</f>
        <v>0</v>
      </c>
      <c r="AU27" s="237">
        <f>AU177</f>
        <v>0</v>
      </c>
      <c r="AV27" s="40">
        <f t="shared" ref="AV27:BA27" si="80">AV177</f>
        <v>0</v>
      </c>
      <c r="AW27" s="40">
        <f t="shared" si="80"/>
        <v>0</v>
      </c>
      <c r="AX27" s="40">
        <f t="shared" si="80"/>
        <v>0</v>
      </c>
      <c r="AY27" s="40">
        <f t="shared" si="80"/>
        <v>0</v>
      </c>
      <c r="AZ27" s="237">
        <f t="shared" si="80"/>
        <v>0</v>
      </c>
      <c r="BA27" s="40">
        <f t="shared" si="80"/>
        <v>0</v>
      </c>
      <c r="BB27" s="40">
        <f t="shared" ref="BB27:BG27" si="81">BB177</f>
        <v>0</v>
      </c>
      <c r="BC27" s="40">
        <f t="shared" si="81"/>
        <v>0</v>
      </c>
      <c r="BD27" s="40">
        <f t="shared" si="81"/>
        <v>0</v>
      </c>
      <c r="BE27" s="237">
        <f t="shared" si="81"/>
        <v>0</v>
      </c>
      <c r="BF27" s="40">
        <f t="shared" si="81"/>
        <v>0</v>
      </c>
      <c r="BG27" s="40">
        <f t="shared" si="81"/>
        <v>0</v>
      </c>
      <c r="BH27" s="40">
        <f t="shared" ref="BH27:BT27" si="82">BH177</f>
        <v>0</v>
      </c>
      <c r="BI27" s="40">
        <f t="shared" si="82"/>
        <v>0</v>
      </c>
      <c r="BJ27" s="237">
        <f t="shared" si="82"/>
        <v>0</v>
      </c>
      <c r="BK27" s="40">
        <f t="shared" si="82"/>
        <v>0</v>
      </c>
      <c r="BL27" s="40">
        <f t="shared" si="82"/>
        <v>0</v>
      </c>
      <c r="BM27" s="40">
        <f>BM177</f>
        <v>0</v>
      </c>
      <c r="BN27" s="368" t="e">
        <f t="shared" si="82"/>
        <v>#DIV/0!</v>
      </c>
      <c r="BO27" s="369" t="e">
        <f t="shared" si="82"/>
        <v>#DIV/0!</v>
      </c>
      <c r="BP27" s="368" t="e">
        <f t="shared" si="82"/>
        <v>#DIV/0!</v>
      </c>
      <c r="BQ27" s="368" t="e">
        <f t="shared" si="82"/>
        <v>#DIV/0!</v>
      </c>
      <c r="BR27" s="368" t="e">
        <f t="shared" si="82"/>
        <v>#DIV/0!</v>
      </c>
      <c r="BS27" s="368" t="e">
        <f t="shared" si="82"/>
        <v>#DIV/0!</v>
      </c>
      <c r="BT27" s="369" t="e">
        <f t="shared" si="82"/>
        <v>#DIV/0!</v>
      </c>
    </row>
    <row r="28" spans="1:72" s="182" customFormat="1" ht="13">
      <c r="A28" s="676">
        <f t="shared" si="11"/>
        <v>22</v>
      </c>
      <c r="B28" s="183" t="s">
        <v>176</v>
      </c>
      <c r="E28" s="237">
        <f>E179</f>
        <v>0</v>
      </c>
      <c r="F28" s="237">
        <f t="shared" ref="F28:AJ28" si="83">F179</f>
        <v>0</v>
      </c>
      <c r="G28" s="237">
        <f t="shared" si="83"/>
        <v>0</v>
      </c>
      <c r="H28" s="40">
        <f t="shared" si="83"/>
        <v>0</v>
      </c>
      <c r="I28" s="40">
        <f t="shared" si="83"/>
        <v>0</v>
      </c>
      <c r="J28" s="40">
        <f t="shared" si="83"/>
        <v>0</v>
      </c>
      <c r="K28" s="40">
        <f t="shared" si="83"/>
        <v>0</v>
      </c>
      <c r="L28" s="237">
        <f t="shared" si="83"/>
        <v>0</v>
      </c>
      <c r="M28" s="40">
        <f t="shared" si="83"/>
        <v>0</v>
      </c>
      <c r="N28" s="40">
        <f t="shared" si="83"/>
        <v>0</v>
      </c>
      <c r="O28" s="40">
        <f t="shared" si="83"/>
        <v>0</v>
      </c>
      <c r="P28" s="40">
        <f t="shared" si="83"/>
        <v>0</v>
      </c>
      <c r="Q28" s="237">
        <f t="shared" si="83"/>
        <v>0</v>
      </c>
      <c r="R28" s="40">
        <f t="shared" si="83"/>
        <v>0</v>
      </c>
      <c r="S28" s="40">
        <f t="shared" si="83"/>
        <v>0</v>
      </c>
      <c r="T28" s="40">
        <f t="shared" si="83"/>
        <v>0</v>
      </c>
      <c r="U28" s="40">
        <f t="shared" si="83"/>
        <v>0</v>
      </c>
      <c r="V28" s="237">
        <f t="shared" si="83"/>
        <v>0</v>
      </c>
      <c r="W28" s="40">
        <f t="shared" si="83"/>
        <v>0</v>
      </c>
      <c r="X28" s="40">
        <f t="shared" ref="X28:AD28" si="84">X179</f>
        <v>0</v>
      </c>
      <c r="Y28" s="40">
        <f t="shared" si="84"/>
        <v>0</v>
      </c>
      <c r="Z28" s="40">
        <f t="shared" si="84"/>
        <v>0</v>
      </c>
      <c r="AA28" s="237">
        <f t="shared" si="84"/>
        <v>0</v>
      </c>
      <c r="AB28" s="40">
        <f t="shared" si="84"/>
        <v>0</v>
      </c>
      <c r="AC28" s="40">
        <f t="shared" si="84"/>
        <v>0</v>
      </c>
      <c r="AD28" s="40">
        <f t="shared" si="84"/>
        <v>0</v>
      </c>
      <c r="AE28" s="40">
        <f>AE179</f>
        <v>0</v>
      </c>
      <c r="AF28" s="237">
        <f t="shared" si="83"/>
        <v>0</v>
      </c>
      <c r="AG28" s="40">
        <f t="shared" si="83"/>
        <v>0</v>
      </c>
      <c r="AH28" s="40">
        <f t="shared" si="83"/>
        <v>0</v>
      </c>
      <c r="AI28" s="40">
        <f t="shared" si="83"/>
        <v>0</v>
      </c>
      <c r="AJ28" s="40">
        <f t="shared" si="83"/>
        <v>0</v>
      </c>
      <c r="AK28" s="237">
        <f t="shared" ref="AK28:AP28" si="85">AK179</f>
        <v>0</v>
      </c>
      <c r="AL28" s="40">
        <f t="shared" si="85"/>
        <v>0</v>
      </c>
      <c r="AM28" s="40">
        <f t="shared" si="85"/>
        <v>0</v>
      </c>
      <c r="AN28" s="40">
        <f t="shared" si="85"/>
        <v>0</v>
      </c>
      <c r="AO28" s="40">
        <f t="shared" si="85"/>
        <v>0</v>
      </c>
      <c r="AP28" s="237">
        <f t="shared" si="85"/>
        <v>0</v>
      </c>
      <c r="AQ28" s="40">
        <f>AQ179</f>
        <v>0</v>
      </c>
      <c r="AR28" s="40">
        <f>AR179</f>
        <v>0</v>
      </c>
      <c r="AS28" s="40">
        <f>AS179</f>
        <v>0</v>
      </c>
      <c r="AT28" s="40">
        <f>AT179</f>
        <v>0</v>
      </c>
      <c r="AU28" s="237">
        <f>AU179</f>
        <v>0</v>
      </c>
      <c r="AV28" s="40">
        <f t="shared" ref="AV28:BA28" si="86">AV179</f>
        <v>0</v>
      </c>
      <c r="AW28" s="40">
        <f t="shared" si="86"/>
        <v>0</v>
      </c>
      <c r="AX28" s="40">
        <f t="shared" si="86"/>
        <v>0</v>
      </c>
      <c r="AY28" s="40">
        <f t="shared" si="86"/>
        <v>0</v>
      </c>
      <c r="AZ28" s="237">
        <f t="shared" si="86"/>
        <v>0</v>
      </c>
      <c r="BA28" s="40">
        <f t="shared" si="86"/>
        <v>0</v>
      </c>
      <c r="BB28" s="40">
        <f t="shared" ref="BB28:BG28" si="87">BB179</f>
        <v>0</v>
      </c>
      <c r="BC28" s="40">
        <f t="shared" si="87"/>
        <v>0</v>
      </c>
      <c r="BD28" s="40">
        <f t="shared" si="87"/>
        <v>0</v>
      </c>
      <c r="BE28" s="237">
        <f t="shared" si="87"/>
        <v>0</v>
      </c>
      <c r="BF28" s="40">
        <f t="shared" si="87"/>
        <v>0</v>
      </c>
      <c r="BG28" s="40">
        <f t="shared" si="87"/>
        <v>0</v>
      </c>
      <c r="BH28" s="40">
        <f t="shared" ref="BH28:BT28" si="88">BH179</f>
        <v>0</v>
      </c>
      <c r="BI28" s="40">
        <f t="shared" si="88"/>
        <v>0</v>
      </c>
      <c r="BJ28" s="237">
        <f t="shared" si="88"/>
        <v>0</v>
      </c>
      <c r="BK28" s="40">
        <f t="shared" si="88"/>
        <v>0</v>
      </c>
      <c r="BL28" s="40">
        <f t="shared" si="88"/>
        <v>0</v>
      </c>
      <c r="BM28" s="40">
        <f>BM179</f>
        <v>0</v>
      </c>
      <c r="BN28" s="368" t="e">
        <f t="shared" si="88"/>
        <v>#DIV/0!</v>
      </c>
      <c r="BO28" s="369" t="e">
        <f t="shared" si="88"/>
        <v>#DIV/0!</v>
      </c>
      <c r="BP28" s="368" t="e">
        <f t="shared" si="88"/>
        <v>#DIV/0!</v>
      </c>
      <c r="BQ28" s="368" t="e">
        <f t="shared" si="88"/>
        <v>#DIV/0!</v>
      </c>
      <c r="BR28" s="368" t="e">
        <f t="shared" si="88"/>
        <v>#DIV/0!</v>
      </c>
      <c r="BS28" s="368" t="e">
        <f t="shared" si="88"/>
        <v>#DIV/0!</v>
      </c>
      <c r="BT28" s="369" t="e">
        <f t="shared" si="88"/>
        <v>#DIV/0!</v>
      </c>
    </row>
    <row r="29" spans="1:72" s="182" customFormat="1" ht="13">
      <c r="A29" s="676">
        <f t="shared" si="11"/>
        <v>23</v>
      </c>
      <c r="E29" s="243"/>
      <c r="F29" s="243"/>
      <c r="G29" s="243"/>
      <c r="H29" s="242"/>
      <c r="I29" s="242"/>
      <c r="J29" s="242"/>
      <c r="K29" s="242"/>
      <c r="L29" s="243"/>
      <c r="M29" s="242"/>
      <c r="N29" s="242"/>
      <c r="O29" s="242"/>
      <c r="P29" s="242"/>
      <c r="Q29" s="243"/>
      <c r="R29" s="242"/>
      <c r="S29" s="242"/>
      <c r="T29" s="242"/>
      <c r="U29" s="242"/>
      <c r="V29" s="243"/>
      <c r="W29" s="242"/>
      <c r="X29" s="242"/>
      <c r="Y29" s="242"/>
      <c r="Z29" s="242"/>
      <c r="AA29" s="243"/>
      <c r="AB29" s="242"/>
      <c r="AC29" s="242"/>
      <c r="AD29" s="242"/>
      <c r="AE29" s="242"/>
      <c r="AF29" s="243"/>
      <c r="AG29" s="242"/>
      <c r="AH29" s="242"/>
      <c r="AI29" s="242"/>
      <c r="AJ29" s="242"/>
      <c r="AK29" s="243"/>
      <c r="AL29" s="242"/>
      <c r="AM29" s="242"/>
      <c r="AN29" s="242"/>
      <c r="AO29" s="242"/>
      <c r="AP29" s="243"/>
      <c r="AQ29" s="242"/>
      <c r="AR29" s="242"/>
      <c r="AS29" s="242"/>
      <c r="AT29" s="242"/>
      <c r="AU29" s="243"/>
      <c r="AV29" s="242"/>
      <c r="AW29" s="242"/>
      <c r="AX29" s="242"/>
      <c r="AY29" s="242"/>
      <c r="AZ29" s="243"/>
      <c r="BA29" s="242"/>
      <c r="BB29" s="242"/>
      <c r="BC29" s="242"/>
      <c r="BD29" s="242"/>
      <c r="BE29" s="243"/>
      <c r="BF29" s="242"/>
      <c r="BG29" s="242"/>
      <c r="BH29" s="242"/>
      <c r="BI29" s="242"/>
      <c r="BJ29" s="243"/>
      <c r="BK29" s="242"/>
      <c r="BL29" s="242"/>
      <c r="BM29" s="242"/>
      <c r="BN29" s="379"/>
      <c r="BO29" s="380"/>
      <c r="BP29" s="379"/>
      <c r="BQ29" s="379"/>
      <c r="BR29" s="379"/>
      <c r="BS29" s="379"/>
      <c r="BT29" s="380"/>
    </row>
    <row r="30" spans="1:72" s="182" customFormat="1" ht="13">
      <c r="A30" s="676">
        <f t="shared" si="11"/>
        <v>24</v>
      </c>
      <c r="B30" s="196" t="s">
        <v>177</v>
      </c>
      <c r="C30" s="197"/>
      <c r="D30" s="197"/>
      <c r="E30" s="245"/>
      <c r="F30" s="245"/>
      <c r="G30" s="245"/>
      <c r="H30" s="244"/>
      <c r="I30" s="244"/>
      <c r="J30" s="244"/>
      <c r="K30" s="244"/>
      <c r="L30" s="245"/>
      <c r="M30" s="244"/>
      <c r="N30" s="244"/>
      <c r="O30" s="244"/>
      <c r="P30" s="244"/>
      <c r="Q30" s="245"/>
      <c r="R30" s="244"/>
      <c r="S30" s="244"/>
      <c r="T30" s="244"/>
      <c r="U30" s="244"/>
      <c r="V30" s="245"/>
      <c r="W30" s="244"/>
      <c r="X30" s="244"/>
      <c r="Y30" s="244"/>
      <c r="Z30" s="244"/>
      <c r="AA30" s="245"/>
      <c r="AB30" s="244"/>
      <c r="AC30" s="244"/>
      <c r="AD30" s="244"/>
      <c r="AE30" s="244"/>
      <c r="AF30" s="245"/>
      <c r="AG30" s="244"/>
      <c r="AH30" s="244"/>
      <c r="AI30" s="244"/>
      <c r="AJ30" s="244"/>
      <c r="AK30" s="245"/>
      <c r="AL30" s="244"/>
      <c r="AM30" s="244"/>
      <c r="AN30" s="244"/>
      <c r="AO30" s="244"/>
      <c r="AP30" s="245"/>
      <c r="AQ30" s="244"/>
      <c r="AR30" s="244"/>
      <c r="AS30" s="244"/>
      <c r="AT30" s="244"/>
      <c r="AU30" s="245"/>
      <c r="AV30" s="244"/>
      <c r="AW30" s="244"/>
      <c r="AX30" s="244"/>
      <c r="AY30" s="244"/>
      <c r="AZ30" s="245"/>
      <c r="BA30" s="244"/>
      <c r="BB30" s="244"/>
      <c r="BC30" s="244"/>
      <c r="BD30" s="244"/>
      <c r="BE30" s="245"/>
      <c r="BF30" s="244"/>
      <c r="BG30" s="244"/>
      <c r="BH30" s="244"/>
      <c r="BI30" s="244"/>
      <c r="BJ30" s="245"/>
      <c r="BK30" s="244"/>
      <c r="BL30" s="244"/>
      <c r="BM30" s="244"/>
      <c r="BN30" s="381"/>
      <c r="BO30" s="382"/>
      <c r="BP30" s="381"/>
      <c r="BQ30" s="381"/>
      <c r="BR30" s="381"/>
      <c r="BS30" s="381"/>
      <c r="BT30" s="382"/>
    </row>
    <row r="31" spans="1:72" s="182" customFormat="1" ht="13">
      <c r="A31" s="676">
        <f t="shared" si="11"/>
        <v>25</v>
      </c>
      <c r="B31" s="198"/>
      <c r="E31" s="246"/>
      <c r="F31" s="246"/>
      <c r="G31" s="246"/>
      <c r="H31" s="227"/>
      <c r="I31" s="227"/>
      <c r="J31" s="227"/>
      <c r="K31" s="227"/>
      <c r="L31" s="246"/>
      <c r="M31" s="227"/>
      <c r="N31" s="227"/>
      <c r="O31" s="227"/>
      <c r="P31" s="227"/>
      <c r="Q31" s="246"/>
      <c r="R31" s="227"/>
      <c r="S31" s="227"/>
      <c r="T31" s="227"/>
      <c r="U31" s="227"/>
      <c r="V31" s="246"/>
      <c r="W31" s="227"/>
      <c r="X31" s="227"/>
      <c r="Y31" s="227"/>
      <c r="Z31" s="227"/>
      <c r="AA31" s="246"/>
      <c r="AB31" s="227"/>
      <c r="AC31" s="227"/>
      <c r="AD31" s="227"/>
      <c r="AE31" s="227"/>
      <c r="AF31" s="246"/>
      <c r="AG31" s="227"/>
      <c r="AH31" s="227"/>
      <c r="AI31" s="227"/>
      <c r="AJ31" s="227"/>
      <c r="AK31" s="246"/>
      <c r="AL31" s="227"/>
      <c r="AM31" s="227"/>
      <c r="AN31" s="227"/>
      <c r="AO31" s="227"/>
      <c r="AP31" s="246"/>
      <c r="AQ31" s="227"/>
      <c r="AR31" s="227"/>
      <c r="AS31" s="227"/>
      <c r="AT31" s="227"/>
      <c r="AU31" s="246"/>
      <c r="AV31" s="227"/>
      <c r="AW31" s="227"/>
      <c r="AX31" s="227"/>
      <c r="AY31" s="227"/>
      <c r="AZ31" s="246"/>
      <c r="BA31" s="227"/>
      <c r="BB31" s="227"/>
      <c r="BC31" s="227"/>
      <c r="BD31" s="227"/>
      <c r="BE31" s="246"/>
      <c r="BF31" s="227"/>
      <c r="BG31" s="227"/>
      <c r="BH31" s="227"/>
      <c r="BI31" s="227"/>
      <c r="BJ31" s="246"/>
      <c r="BK31" s="227"/>
      <c r="BL31" s="227"/>
      <c r="BM31" s="227"/>
      <c r="BN31" s="383"/>
      <c r="BO31" s="384"/>
      <c r="BP31" s="383"/>
      <c r="BQ31" s="383"/>
      <c r="BR31" s="383"/>
      <c r="BS31" s="383"/>
      <c r="BT31" s="384"/>
    </row>
    <row r="32" spans="1:72" s="182" customFormat="1" ht="13">
      <c r="A32" s="676">
        <f t="shared" si="11"/>
        <v>26</v>
      </c>
      <c r="B32" s="199" t="s">
        <v>178</v>
      </c>
      <c r="E32" s="248" t="e">
        <f>E14/-(E18)</f>
        <v>#DIV/0!</v>
      </c>
      <c r="F32" s="248" t="e">
        <f>F14/-(F18)</f>
        <v>#DIV/0!</v>
      </c>
      <c r="G32" s="248" t="e">
        <f>G14/-(G18)</f>
        <v>#DIV/0!</v>
      </c>
      <c r="H32" s="247"/>
      <c r="I32" s="247"/>
      <c r="J32" s="247"/>
      <c r="K32" s="247" t="e">
        <f>(K14+I14+J14+H14)/-(K18+I18+J18+H18)</f>
        <v>#DIV/0!</v>
      </c>
      <c r="L32" s="248" t="e">
        <f>L14/-(L18)</f>
        <v>#DIV/0!</v>
      </c>
      <c r="M32" s="247" t="e">
        <f>(M14+K14+I14+J14)/-(M18+K18+I18+J18)</f>
        <v>#DIV/0!</v>
      </c>
      <c r="N32" s="247" t="e">
        <f>(N14+J14+M14+K14)/-(N18+J18+M18+K18)</f>
        <v>#DIV/0!</v>
      </c>
      <c r="O32" s="247" t="e">
        <f>(O14+M14+N14+K14)/-(O18+M18+N18+K18)</f>
        <v>#DIV/0!</v>
      </c>
      <c r="P32" s="247" t="e">
        <f>(P14+N14+O14+M14)/-(P18+N18+O18+M18)</f>
        <v>#DIV/0!</v>
      </c>
      <c r="Q32" s="248" t="e">
        <f>Q14/-(Q18)</f>
        <v>#DIV/0!</v>
      </c>
      <c r="R32" s="247" t="e">
        <f>(R14+P14+N14+O14)/-(R18+P18+N18+O18)</f>
        <v>#DIV/0!</v>
      </c>
      <c r="S32" s="247" t="e">
        <f>(S14+O14+R14+P14)/-(S18+O18+R18+P18)</f>
        <v>#DIV/0!</v>
      </c>
      <c r="T32" s="247" t="e">
        <f>(T14+R14+S14+P14)/-(T18+R18+S18+P18)</f>
        <v>#DIV/0!</v>
      </c>
      <c r="U32" s="247" t="e">
        <f>(U14+S14+T14+R14)/-(U18+S18+T18+R18)</f>
        <v>#DIV/0!</v>
      </c>
      <c r="V32" s="248" t="e">
        <f>V14/-(V18)</f>
        <v>#DIV/0!</v>
      </c>
      <c r="W32" s="247" t="e">
        <f>(W14+U14+S14+T14)/-(W18+U18+S18+T18)</f>
        <v>#DIV/0!</v>
      </c>
      <c r="X32" s="247" t="e">
        <f>(X14+T14+W14+U14)/-(X18+T18+W18+U18)</f>
        <v>#DIV/0!</v>
      </c>
      <c r="Y32" s="247" t="e">
        <f>(Y14+W14+X14+U14)/-(Y18+W18+X18+U18)</f>
        <v>#DIV/0!</v>
      </c>
      <c r="Z32" s="247" t="e">
        <f>(Z14+X14+Y14+W14)/-(Z18+X18+Y18+W18)</f>
        <v>#DIV/0!</v>
      </c>
      <c r="AA32" s="248" t="e">
        <f>AA14/-(AA18)</f>
        <v>#DIV/0!</v>
      </c>
      <c r="AB32" s="247" t="e">
        <f>(AB14+Z14+X14+Y14)/-(AB18+Z18+X18+Y18)</f>
        <v>#DIV/0!</v>
      </c>
      <c r="AC32" s="247" t="e">
        <f>(AC14+Y14+AB14+Z14)/-(AC18+Y18+AB18+Z18)</f>
        <v>#DIV/0!</v>
      </c>
      <c r="AD32" s="247" t="e">
        <f>(AD14+AB14+AC14+Z14)/-(AD18+AB18+AC18+Z18)</f>
        <v>#DIV/0!</v>
      </c>
      <c r="AE32" s="247" t="e">
        <f>(AE14+AC14+AD14+AB14)/-(AE18+AC18+AD18+AB18)</f>
        <v>#DIV/0!</v>
      </c>
      <c r="AF32" s="248" t="e">
        <f>AF14/-(AF18)</f>
        <v>#DIV/0!</v>
      </c>
      <c r="AG32" s="247" t="e">
        <f>(AG14+AE14+AC14+AD14)/-(AG18+AE18+AC18+AD18)</f>
        <v>#DIV/0!</v>
      </c>
      <c r="AH32" s="247" t="e">
        <f>(AH14+AD14+AG14+AE14)/-(AH18+AD18+AG18+AE18)</f>
        <v>#DIV/0!</v>
      </c>
      <c r="AI32" s="247" t="e">
        <f>(AI14+AG14+AH14+AE14)/-(AI18+AG18+AH18+AE18)</f>
        <v>#DIV/0!</v>
      </c>
      <c r="AJ32" s="247" t="e">
        <f>(AJ14+AH14+AI14+AG14)/-(AJ18+AH18+AI18+AG18)</f>
        <v>#DIV/0!</v>
      </c>
      <c r="AK32" s="248" t="e">
        <f>AK14/-(AK18)</f>
        <v>#DIV/0!</v>
      </c>
      <c r="AL32" s="247" t="e">
        <f>(AL14+AJ14+AH14+AI14)/-(AL18+AJ18+AH18+AI18)</f>
        <v>#DIV/0!</v>
      </c>
      <c r="AM32" s="247" t="e">
        <f>(AM14+AI14+AL14+AJ14)/-(AM18+AI18+AL18+AJ18)</f>
        <v>#DIV/0!</v>
      </c>
      <c r="AN32" s="247" t="e">
        <f>(AN14+AL14+AM14+AJ14)/-(AN18+AL18+AM18+AJ18)</f>
        <v>#DIV/0!</v>
      </c>
      <c r="AO32" s="247" t="e">
        <f>(AO14+AM14+AN14+AL14)/-(AO18+AM18+AN18+AL18)</f>
        <v>#DIV/0!</v>
      </c>
      <c r="AP32" s="248" t="e">
        <f>AP14/-(AP18)</f>
        <v>#DIV/0!</v>
      </c>
      <c r="AQ32" s="247" t="e">
        <f>(AQ14+AO14+AM14+AN14)/-(AQ18+AO18+AM18+AN18)</f>
        <v>#DIV/0!</v>
      </c>
      <c r="AR32" s="247" t="e">
        <f>(AR14+AN14+AQ14+AO14)/-(AR18+AN18+AQ18+AO18)</f>
        <v>#DIV/0!</v>
      </c>
      <c r="AS32" s="247" t="e">
        <f>(AS14+AQ14+AR14+AO14)/-(AS18+AQ18+AR18+AO18)</f>
        <v>#DIV/0!</v>
      </c>
      <c r="AT32" s="247" t="e">
        <f>(AT14+AR14+AS14+AQ14)/-(AT18+AR18+AS18+AQ18)</f>
        <v>#DIV/0!</v>
      </c>
      <c r="AU32" s="248" t="e">
        <f>AU14/-(AU18)</f>
        <v>#DIV/0!</v>
      </c>
      <c r="AV32" s="247" t="e">
        <f>(AV14+AT14+AR14+AS14)/-(AV18+AT18+AR18+AS18)</f>
        <v>#DIV/0!</v>
      </c>
      <c r="AW32" s="247" t="e">
        <f>(AW14+AS14+AV14+AT14)/-(AW18+AS18+AV18+AT18)</f>
        <v>#DIV/0!</v>
      </c>
      <c r="AX32" s="247" t="e">
        <f>(AX14+AV14+AW14+AT14)/-(AX18+AV18+AW18+AT18)</f>
        <v>#DIV/0!</v>
      </c>
      <c r="AY32" s="247" t="e">
        <f>(AY14+AW14+AX14+AV14)/-(AY18+AW18+AX18+AV18)</f>
        <v>#DIV/0!</v>
      </c>
      <c r="AZ32" s="248" t="e">
        <f>AZ14/-(AZ18)</f>
        <v>#DIV/0!</v>
      </c>
      <c r="BA32" s="247" t="e">
        <f>(BA14+AY14+AW14+AX14)/-(BA18+AY18+AW18+AX18)</f>
        <v>#DIV/0!</v>
      </c>
      <c r="BB32" s="247" t="e">
        <f>(BB14+AX14+BA14+AY14)/-(BB18+AX18+BA18+AY18)</f>
        <v>#DIV/0!</v>
      </c>
      <c r="BC32" s="247" t="e">
        <f>(BC14+BA14+BB14+AY14)/-(BC18+BA18+BB18+AY18)</f>
        <v>#DIV/0!</v>
      </c>
      <c r="BD32" s="247" t="e">
        <f>(BD14+BB14+BC14+BA14)/-(BD18+BB18+BC18+BA18)</f>
        <v>#DIV/0!</v>
      </c>
      <c r="BE32" s="248" t="e">
        <f>BE14/-(BE18)</f>
        <v>#DIV/0!</v>
      </c>
      <c r="BF32" s="247" t="e">
        <f>(BF14+BD14+BB14+BC14)/-(BF18+BD18+BB18+BC18)</f>
        <v>#DIV/0!</v>
      </c>
      <c r="BG32" s="247" t="e">
        <f>(BG14+BC14+BF14+BD14)/-(BG18+BC18+BF18+BD18)</f>
        <v>#DIV/0!</v>
      </c>
      <c r="BH32" s="247" t="e">
        <f>(BH14+BF14+BG14+BD14)/-(BH18+BF18+BG18+BD18)</f>
        <v>#DIV/0!</v>
      </c>
      <c r="BI32" s="247" t="e">
        <f>(BI14+BG14+BH14+BF14)/-(BI18+BG18+BH18+BF18)</f>
        <v>#DIV/0!</v>
      </c>
      <c r="BJ32" s="248" t="e">
        <f>BJ14/-(BJ18)</f>
        <v>#DIV/0!</v>
      </c>
      <c r="BK32" s="247" t="e">
        <f>(BK14+BI14+BG14+BH14)/-(BK18+BI18+BG18+BH18)</f>
        <v>#DIV/0!</v>
      </c>
      <c r="BL32" s="247" t="e">
        <f>(BL14+BH14+BK14+BI14)/-(BL18+BH18+BK18+BI18)</f>
        <v>#DIV/0!</v>
      </c>
      <c r="BM32" s="247" t="e">
        <f>(BM14+BI14+BL14+BJ14)/-(BM18+BI18+BL18+BJ18)</f>
        <v>#DIV/0!</v>
      </c>
      <c r="BN32" s="385" t="e">
        <f>(BN14+BL14+BM14+BK14)/-(BN18+BL18+BM18+BK18)</f>
        <v>#DIV/0!</v>
      </c>
      <c r="BO32" s="386" t="e">
        <f>BO14/-(BO18)</f>
        <v>#DIV/0!</v>
      </c>
      <c r="BP32" s="385" t="e">
        <f>(BP14+BN14+BL14+BM14)/-(BP18+BN18+BL18+BM18)</f>
        <v>#DIV/0!</v>
      </c>
      <c r="BQ32" s="385" t="e">
        <f>(BQ14+BM14+BP14+BN14)/-(BQ18+BM18+BP18+BN18)</f>
        <v>#DIV/0!</v>
      </c>
      <c r="BR32" s="385" t="e">
        <f>(BR14+BP14+BQ14+BN14)/-(BR18+BP18+BQ18+BN18)</f>
        <v>#DIV/0!</v>
      </c>
      <c r="BS32" s="385" t="e">
        <f>(BS14+BQ14+BR14+BP14)/-(BS18+BQ18+BR18+BP18)</f>
        <v>#DIV/0!</v>
      </c>
      <c r="BT32" s="386" t="e">
        <f>BT14/-(BT18)</f>
        <v>#DIV/0!</v>
      </c>
    </row>
    <row r="33" spans="1:72" s="182" customFormat="1" ht="13">
      <c r="A33" s="676">
        <f t="shared" si="11"/>
        <v>27</v>
      </c>
      <c r="B33" s="199" t="s">
        <v>179</v>
      </c>
      <c r="E33" s="248" t="e">
        <f>E14/E117</f>
        <v>#DIV/0!</v>
      </c>
      <c r="F33" s="248" t="e">
        <f>F14/F117</f>
        <v>#DIV/0!</v>
      </c>
      <c r="G33" s="248" t="e">
        <f>G14/G117</f>
        <v>#DIV/0!</v>
      </c>
      <c r="H33" s="247"/>
      <c r="I33" s="247"/>
      <c r="J33" s="247"/>
      <c r="K33" s="247" t="e">
        <f>(K14+J14+I14+H14)/(K85+J85+I85+H85)</f>
        <v>#DIV/0!</v>
      </c>
      <c r="L33" s="248" t="e">
        <f>L14/L117</f>
        <v>#DIV/0!</v>
      </c>
      <c r="M33" s="247" t="e">
        <f>(M14+K14+J14+I14)/(M85+K85+J85+I85)</f>
        <v>#DIV/0!</v>
      </c>
      <c r="N33" s="247" t="e">
        <f>(N14+M14+K14+J14)/(N85+M85+K85+J85)</f>
        <v>#DIV/0!</v>
      </c>
      <c r="O33" s="247" t="e">
        <f>(O14+N14+M14+K14)/(O85+N85+M85+K85)</f>
        <v>#DIV/0!</v>
      </c>
      <c r="P33" s="247" t="e">
        <f>(P14+O14+N14+M14)/(P85+O85+N85+M85)</f>
        <v>#DIV/0!</v>
      </c>
      <c r="Q33" s="248" t="e">
        <f>Q14/Q117</f>
        <v>#DIV/0!</v>
      </c>
      <c r="R33" s="247" t="e">
        <f>(R14+P14+O14+N14)/(R85+P85+O85+N85)</f>
        <v>#DIV/0!</v>
      </c>
      <c r="S33" s="247" t="e">
        <f>(S14+R14+P14+O14)/(S85+R85+P85+O85)</f>
        <v>#DIV/0!</v>
      </c>
      <c r="T33" s="247" t="e">
        <f>(T14+S14+R14+P14)/(T85+S85+R85+P85)</f>
        <v>#DIV/0!</v>
      </c>
      <c r="U33" s="247" t="e">
        <f>(U14+T14+S14+R14)/(U85+T85+S85+R85)</f>
        <v>#DIV/0!</v>
      </c>
      <c r="V33" s="248" t="e">
        <f>V14/V117</f>
        <v>#DIV/0!</v>
      </c>
      <c r="W33" s="247" t="e">
        <f>(W14+U14+T14+S14)/(W85+U85+T85+S85)</f>
        <v>#DIV/0!</v>
      </c>
      <c r="X33" s="247" t="e">
        <f>(X14+W14+U14+T14)/(X85+W85+U85+T85)</f>
        <v>#DIV/0!</v>
      </c>
      <c r="Y33" s="247" t="e">
        <f>(Y14+X14+W14+U14)/(Y85+X85+W85+U85)</f>
        <v>#DIV/0!</v>
      </c>
      <c r="Z33" s="247" t="e">
        <f>(Z14+Y14+X14+W14)/(Z85+Y85+X85+W85)</f>
        <v>#DIV/0!</v>
      </c>
      <c r="AA33" s="248" t="e">
        <f>AA14/AA117</f>
        <v>#DIV/0!</v>
      </c>
      <c r="AB33" s="247" t="e">
        <f>(AB14+Z14+Y14+X14)/(AB85+Z85+Y85+X85)</f>
        <v>#DIV/0!</v>
      </c>
      <c r="AC33" s="247" t="e">
        <f>(AC14+AB14+Z14+Y14)/(AC85+AB85+Z85+Y85)</f>
        <v>#DIV/0!</v>
      </c>
      <c r="AD33" s="247" t="e">
        <f>(AD14+AC14+AB14+Z14)/(AD85+AC85+AB85+Z85)</f>
        <v>#DIV/0!</v>
      </c>
      <c r="AE33" s="247" t="e">
        <f>(AE14+AD14+AC14+AB14)/(AE85+AD85+AC85+AB85)</f>
        <v>#DIV/0!</v>
      </c>
      <c r="AF33" s="248" t="e">
        <f>AF14/AF117</f>
        <v>#DIV/0!</v>
      </c>
      <c r="AG33" s="247" t="e">
        <f>(AG14+AE14+AD14+AC14)/(AG85+AE85+AD85+AC85)</f>
        <v>#DIV/0!</v>
      </c>
      <c r="AH33" s="247" t="e">
        <f>(AH14+AG14+AE14+AD14)/(AH85+AG85+AE85+AD85)</f>
        <v>#DIV/0!</v>
      </c>
      <c r="AI33" s="247" t="e">
        <f>(AI14+AH14+AG14+AE14)/(AI85+AH85+AG85+AE85)</f>
        <v>#DIV/0!</v>
      </c>
      <c r="AJ33" s="247" t="e">
        <f>(AJ14+AI14+AH14+AG14)/(AJ85+AI85+AH85+AG85)</f>
        <v>#DIV/0!</v>
      </c>
      <c r="AK33" s="248" t="e">
        <f>AK14/AK117</f>
        <v>#DIV/0!</v>
      </c>
      <c r="AL33" s="247" t="e">
        <f>(AL14+AJ14+AI14+AH14)/(AL85+AJ85+AI85+AH85)</f>
        <v>#DIV/0!</v>
      </c>
      <c r="AM33" s="247" t="e">
        <f>(AM14+AL14+AJ14+AI14)/(AM85+AL85+AJ85+AI85)</f>
        <v>#DIV/0!</v>
      </c>
      <c r="AN33" s="247" t="e">
        <f>(AN14+AM14+AL14+AJ14)/(AN85+AM85+AL85+AJ85)</f>
        <v>#DIV/0!</v>
      </c>
      <c r="AO33" s="247" t="e">
        <f>(AO14+AN14+AM14+AL14)/(AO85+AN85+AM85+AL85)</f>
        <v>#DIV/0!</v>
      </c>
      <c r="AP33" s="248" t="e">
        <f>AP14/AP117</f>
        <v>#DIV/0!</v>
      </c>
      <c r="AQ33" s="247" t="e">
        <f>(AQ14+AO14+AN14+AM14)/(AQ85+AO85+AN85+AM85)</f>
        <v>#DIV/0!</v>
      </c>
      <c r="AR33" s="247" t="e">
        <f>(AR14+AQ14+AO14+AN14)/(AR85+AQ85+AO85+AN85)</f>
        <v>#DIV/0!</v>
      </c>
      <c r="AS33" s="247" t="e">
        <f>(AS14+AR14+AQ14+AO14)/(AS85+AR85+AQ85+AO85)</f>
        <v>#DIV/0!</v>
      </c>
      <c r="AT33" s="247" t="e">
        <f>(AT14+AS14+AR14+AQ14)/(AT85+AS85+AR85+AQ85)</f>
        <v>#DIV/0!</v>
      </c>
      <c r="AU33" s="248" t="e">
        <f>AU14/AU117</f>
        <v>#DIV/0!</v>
      </c>
      <c r="AV33" s="247" t="e">
        <f>(AV14+AT14+AS14+AR14)/(AV85+AT85+AS85+AR85)</f>
        <v>#DIV/0!</v>
      </c>
      <c r="AW33" s="247" t="e">
        <f>(AW14+AV14+AT14+AS14)/(AW85+AV85+AT85+AS85)</f>
        <v>#DIV/0!</v>
      </c>
      <c r="AX33" s="247" t="e">
        <f>(AX14+AW14+AV14+AT14)/(AX85+AW85+AV85+AT85)</f>
        <v>#DIV/0!</v>
      </c>
      <c r="AY33" s="247" t="e">
        <f>(AY14+AX14+AW14+AV14)/(AY85+AX85+AW85+AV85)</f>
        <v>#DIV/0!</v>
      </c>
      <c r="AZ33" s="248" t="e">
        <f>AZ14/AZ117</f>
        <v>#DIV/0!</v>
      </c>
      <c r="BA33" s="247" t="e">
        <f>(BA14+AY14+AX14+AW14)/(BA85+AY85+AX85+AW85)</f>
        <v>#DIV/0!</v>
      </c>
      <c r="BB33" s="247" t="e">
        <f>(BB14+BA14+AY14+AX14)/(BB85+BA85+AY85+AX85)</f>
        <v>#DIV/0!</v>
      </c>
      <c r="BC33" s="247" t="e">
        <f>(BC14+BB14+BA14+AY14)/(BC85+BB85+BA85+AY85)</f>
        <v>#DIV/0!</v>
      </c>
      <c r="BD33" s="247" t="e">
        <f>(BD14+BC14+BB14+BA14)/(BD85+BC85+BB85+BA85)</f>
        <v>#DIV/0!</v>
      </c>
      <c r="BE33" s="248" t="e">
        <f>BE14/BE117</f>
        <v>#DIV/0!</v>
      </c>
      <c r="BF33" s="247" t="e">
        <f>(BF14+BD14+BC14+BB14)/(BF85+BD85+BC85+BB85)</f>
        <v>#DIV/0!</v>
      </c>
      <c r="BG33" s="247" t="e">
        <f>(BG14+BF14+BD14+BC14)/(BG85+BF85+BD85+BC85)</f>
        <v>#DIV/0!</v>
      </c>
      <c r="BH33" s="247" t="e">
        <f>(BH14+BG14+BF14+BD14)/(BH85+BG85+BF85+BD85)</f>
        <v>#DIV/0!</v>
      </c>
      <c r="BI33" s="247" t="e">
        <f>(BI14+BH14+BG14+BF14)/(BI85+BH85+BG85+BF85)</f>
        <v>#DIV/0!</v>
      </c>
      <c r="BJ33" s="248" t="e">
        <f>BJ14/BJ117</f>
        <v>#DIV/0!</v>
      </c>
      <c r="BK33" s="247" t="e">
        <f>(BK14+BI14+BH14+BG14)/(BK85+BI85+BH85+BG85)</f>
        <v>#DIV/0!</v>
      </c>
      <c r="BL33" s="247" t="e">
        <f>(BL14+BK14+BI14+BH14)/(BL85+BK85+BI85+BH85)</f>
        <v>#DIV/0!</v>
      </c>
      <c r="BM33" s="247" t="e">
        <f>(BM14+BL14+BJ14+BI14)/(BM85+BL85+BJ85+BI85)</f>
        <v>#DIV/0!</v>
      </c>
      <c r="BN33" s="385" t="e">
        <f>(BN14+BM14+BL14+BK14)/(BN85+BM85+BL85+BK85)</f>
        <v>#DIV/0!</v>
      </c>
      <c r="BO33" s="386" t="e">
        <f>BO14/BO117</f>
        <v>#DIV/0!</v>
      </c>
      <c r="BP33" s="385" t="e">
        <f>(BP14+BN14+BM14+BL14)/(BP85+BN85+BM85+BL85)</f>
        <v>#DIV/0!</v>
      </c>
      <c r="BQ33" s="385" t="e">
        <f>(BQ14+BP14+BN14+BM14)/(BQ85+BP85+BN85+BM85)</f>
        <v>#DIV/0!</v>
      </c>
      <c r="BR33" s="385" t="e">
        <f>(BR14+BQ14+BP14+BN14)/(BR85+BQ85+BP85+BN85)</f>
        <v>#DIV/0!</v>
      </c>
      <c r="BS33" s="385" t="e">
        <f>(BS14+BR14+BQ14+BP14)/(BS85+BR85+BQ85+BP85)</f>
        <v>#DIV/0!</v>
      </c>
      <c r="BT33" s="386" t="e">
        <f>BT14/BT117</f>
        <v>#DIV/0!</v>
      </c>
    </row>
    <row r="34" spans="1:72" s="182" customFormat="1" ht="13">
      <c r="A34" s="676">
        <f t="shared" si="11"/>
        <v>28</v>
      </c>
      <c r="B34" s="199"/>
      <c r="E34" s="248"/>
      <c r="F34" s="248"/>
      <c r="G34" s="248"/>
      <c r="H34" s="247"/>
      <c r="I34" s="247"/>
      <c r="J34" s="247"/>
      <c r="K34" s="247"/>
      <c r="L34" s="248"/>
      <c r="M34" s="247"/>
      <c r="N34" s="247"/>
      <c r="O34" s="247"/>
      <c r="P34" s="247"/>
      <c r="Q34" s="248"/>
      <c r="R34" s="247"/>
      <c r="S34" s="247"/>
      <c r="T34" s="247"/>
      <c r="U34" s="247"/>
      <c r="V34" s="248"/>
      <c r="W34" s="247"/>
      <c r="X34" s="247"/>
      <c r="Y34" s="247"/>
      <c r="Z34" s="247"/>
      <c r="AA34" s="248"/>
      <c r="AB34" s="247"/>
      <c r="AC34" s="247"/>
      <c r="AD34" s="247"/>
      <c r="AE34" s="247"/>
      <c r="AF34" s="248"/>
      <c r="AG34" s="247"/>
      <c r="AH34" s="247"/>
      <c r="AI34" s="247"/>
      <c r="AJ34" s="247"/>
      <c r="AK34" s="248"/>
      <c r="AL34" s="247"/>
      <c r="AM34" s="247"/>
      <c r="AN34" s="247"/>
      <c r="AO34" s="247"/>
      <c r="AP34" s="248"/>
      <c r="AQ34" s="247"/>
      <c r="AR34" s="247"/>
      <c r="AS34" s="247"/>
      <c r="AT34" s="247"/>
      <c r="AU34" s="248"/>
      <c r="AV34" s="247"/>
      <c r="AW34" s="247"/>
      <c r="AX34" s="247"/>
      <c r="AY34" s="247"/>
      <c r="AZ34" s="248"/>
      <c r="BA34" s="247"/>
      <c r="BB34" s="247"/>
      <c r="BC34" s="247"/>
      <c r="BD34" s="247"/>
      <c r="BE34" s="248"/>
      <c r="BF34" s="247"/>
      <c r="BG34" s="247"/>
      <c r="BH34" s="247"/>
      <c r="BI34" s="247"/>
      <c r="BJ34" s="248"/>
      <c r="BK34" s="247"/>
      <c r="BL34" s="247"/>
      <c r="BM34" s="247"/>
      <c r="BN34" s="385"/>
      <c r="BO34" s="386"/>
      <c r="BP34" s="385"/>
      <c r="BQ34" s="385"/>
      <c r="BR34" s="385"/>
      <c r="BS34" s="385"/>
      <c r="BT34" s="386"/>
    </row>
    <row r="35" spans="1:72" s="182" customFormat="1" ht="13">
      <c r="A35" s="676">
        <f t="shared" si="11"/>
        <v>29</v>
      </c>
      <c r="B35" s="199" t="s">
        <v>180</v>
      </c>
      <c r="E35" s="248"/>
      <c r="F35" s="248"/>
      <c r="G35" s="248"/>
      <c r="H35" s="247"/>
      <c r="I35" s="247"/>
      <c r="J35" s="247"/>
      <c r="K35" s="247"/>
      <c r="L35" s="248"/>
      <c r="M35" s="247"/>
      <c r="N35" s="247"/>
      <c r="O35" s="247"/>
      <c r="P35" s="247"/>
      <c r="Q35" s="248"/>
      <c r="R35" s="247"/>
      <c r="S35" s="247"/>
      <c r="T35" s="247"/>
      <c r="U35" s="247"/>
      <c r="V35" s="248"/>
      <c r="W35" s="247"/>
      <c r="X35" s="247"/>
      <c r="Y35" s="247"/>
      <c r="Z35" s="247"/>
      <c r="AA35" s="248"/>
      <c r="AB35" s="247"/>
      <c r="AC35" s="247"/>
      <c r="AD35" s="247"/>
      <c r="AE35" s="247"/>
      <c r="AF35" s="248"/>
      <c r="AG35" s="247"/>
      <c r="AH35" s="247"/>
      <c r="AI35" s="247"/>
      <c r="AJ35" s="247"/>
      <c r="AK35" s="248"/>
      <c r="AL35" s="247"/>
      <c r="AM35" s="247"/>
      <c r="AN35" s="247"/>
      <c r="AO35" s="247"/>
      <c r="AP35" s="248"/>
      <c r="AQ35" s="247"/>
      <c r="AR35" s="247"/>
      <c r="AS35" s="247"/>
      <c r="AT35" s="247"/>
      <c r="AU35" s="248"/>
      <c r="AV35" s="247"/>
      <c r="AW35" s="247"/>
      <c r="AX35" s="247"/>
      <c r="AY35" s="247"/>
      <c r="AZ35" s="248"/>
      <c r="BA35" s="247"/>
      <c r="BB35" s="247"/>
      <c r="BC35" s="247"/>
      <c r="BD35" s="247"/>
      <c r="BE35" s="248"/>
      <c r="BF35" s="247"/>
      <c r="BG35" s="247"/>
      <c r="BH35" s="247"/>
      <c r="BI35" s="247"/>
      <c r="BJ35" s="248"/>
      <c r="BK35" s="247"/>
      <c r="BL35" s="247"/>
      <c r="BM35" s="247"/>
      <c r="BN35" s="385"/>
      <c r="BO35" s="386"/>
      <c r="BP35" s="385"/>
      <c r="BQ35" s="385"/>
      <c r="BR35" s="385"/>
      <c r="BS35" s="385"/>
      <c r="BT35" s="386"/>
    </row>
    <row r="36" spans="1:72" s="182" customFormat="1" ht="13">
      <c r="A36" s="676">
        <f t="shared" si="11"/>
        <v>30</v>
      </c>
      <c r="B36" s="200" t="s">
        <v>181</v>
      </c>
      <c r="C36" s="201"/>
      <c r="D36" s="201"/>
      <c r="E36" s="250"/>
      <c r="F36" s="250"/>
      <c r="G36" s="250"/>
      <c r="H36" s="249"/>
      <c r="I36" s="249"/>
      <c r="J36" s="249"/>
      <c r="K36" s="249"/>
      <c r="L36" s="250"/>
      <c r="M36" s="249"/>
      <c r="N36" s="249"/>
      <c r="O36" s="249"/>
      <c r="P36" s="249"/>
      <c r="Q36" s="250"/>
      <c r="R36" s="249"/>
      <c r="S36" s="249"/>
      <c r="T36" s="249"/>
      <c r="U36" s="249"/>
      <c r="V36" s="250"/>
      <c r="W36" s="249"/>
      <c r="X36" s="249"/>
      <c r="Y36" s="249"/>
      <c r="Z36" s="249"/>
      <c r="AA36" s="250"/>
      <c r="AB36" s="249"/>
      <c r="AC36" s="249"/>
      <c r="AD36" s="249"/>
      <c r="AE36" s="249"/>
      <c r="AF36" s="250"/>
      <c r="AG36" s="249"/>
      <c r="AH36" s="249"/>
      <c r="AI36" s="249"/>
      <c r="AJ36" s="249"/>
      <c r="AK36" s="250"/>
      <c r="AL36" s="249"/>
      <c r="AM36" s="249"/>
      <c r="AN36" s="249"/>
      <c r="AO36" s="249"/>
      <c r="AP36" s="250"/>
      <c r="AQ36" s="249"/>
      <c r="AR36" s="249"/>
      <c r="AS36" s="249"/>
      <c r="AT36" s="249"/>
      <c r="AU36" s="250"/>
      <c r="AV36" s="249"/>
      <c r="AW36" s="249"/>
      <c r="AX36" s="249"/>
      <c r="AY36" s="249"/>
      <c r="AZ36" s="250"/>
      <c r="BA36" s="249"/>
      <c r="BB36" s="249"/>
      <c r="BC36" s="249"/>
      <c r="BD36" s="249"/>
      <c r="BE36" s="250"/>
      <c r="BF36" s="249"/>
      <c r="BG36" s="249"/>
      <c r="BH36" s="249"/>
      <c r="BI36" s="249"/>
      <c r="BJ36" s="250"/>
      <c r="BK36" s="249"/>
      <c r="BL36" s="249"/>
      <c r="BM36" s="249"/>
      <c r="BN36" s="387"/>
      <c r="BO36" s="388"/>
      <c r="BP36" s="387"/>
      <c r="BQ36" s="387"/>
      <c r="BR36" s="387"/>
      <c r="BS36" s="387"/>
      <c r="BT36" s="388"/>
    </row>
    <row r="37" spans="1:72" s="182" customFormat="1" ht="13">
      <c r="A37" s="676">
        <f t="shared" si="11"/>
        <v>31</v>
      </c>
      <c r="B37" s="202"/>
      <c r="C37" s="202"/>
      <c r="D37" s="202"/>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389"/>
      <c r="BO37" s="389"/>
      <c r="BP37" s="389"/>
      <c r="BQ37" s="389"/>
      <c r="BR37" s="389"/>
      <c r="BS37" s="389"/>
      <c r="BT37" s="389"/>
    </row>
    <row r="38" spans="1:72" s="182" customFormat="1" ht="13">
      <c r="A38" s="676">
        <f t="shared" si="11"/>
        <v>32</v>
      </c>
      <c r="B38" s="183"/>
      <c r="E38" s="204"/>
      <c r="F38" s="204"/>
      <c r="G38" s="204"/>
      <c r="H38" s="28"/>
      <c r="I38" s="28"/>
      <c r="J38" s="28"/>
      <c r="K38" s="204"/>
      <c r="L38" s="204"/>
      <c r="M38" s="28"/>
      <c r="N38" s="28"/>
      <c r="O38" s="28"/>
      <c r="P38" s="204"/>
      <c r="Q38" s="204"/>
      <c r="R38" s="28"/>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c r="BF38" s="204"/>
      <c r="BG38" s="204"/>
      <c r="BH38" s="204"/>
      <c r="BI38" s="204"/>
      <c r="BJ38" s="204"/>
      <c r="BK38" s="204"/>
      <c r="BL38" s="204"/>
      <c r="BM38" s="204"/>
      <c r="BN38" s="390"/>
      <c r="BO38" s="390"/>
      <c r="BP38" s="390"/>
      <c r="BQ38" s="390"/>
      <c r="BR38" s="390"/>
      <c r="BS38" s="390"/>
      <c r="BT38" s="390"/>
    </row>
    <row r="39" spans="1:72" s="182" customFormat="1" ht="18">
      <c r="A39" s="676">
        <f t="shared" si="11"/>
        <v>33</v>
      </c>
      <c r="B39" s="205" t="str">
        <f>B2</f>
        <v>Name of Company</v>
      </c>
      <c r="C39" s="232"/>
      <c r="D39" s="232"/>
      <c r="E39" s="233"/>
      <c r="F39" s="233"/>
      <c r="G39" s="233"/>
      <c r="H39" s="233"/>
      <c r="I39" s="233"/>
      <c r="J39" s="233"/>
      <c r="K39" s="233"/>
      <c r="L39" s="233"/>
      <c r="M39" s="233"/>
      <c r="N39" s="233"/>
      <c r="O39" s="233"/>
      <c r="P39" s="233"/>
      <c r="Q39" s="233"/>
      <c r="R39" s="233"/>
      <c r="S39" s="638"/>
      <c r="T39" s="28"/>
      <c r="U39" s="28"/>
      <c r="V39" s="28"/>
      <c r="W39" s="28"/>
      <c r="X39" s="638"/>
      <c r="Y39" s="28"/>
      <c r="Z39" s="28"/>
      <c r="AA39" s="28"/>
      <c r="AB39" s="28"/>
      <c r="AC39" s="638"/>
      <c r="AD39" s="28"/>
      <c r="AE39" s="28"/>
      <c r="AF39" s="28"/>
      <c r="AG39" s="28"/>
      <c r="AH39" s="638"/>
      <c r="AI39" s="28"/>
      <c r="AJ39" s="28"/>
      <c r="AK39" s="28"/>
      <c r="AL39" s="28"/>
      <c r="AM39" s="638"/>
      <c r="AN39" s="28"/>
      <c r="AO39" s="28"/>
      <c r="AP39" s="28"/>
      <c r="AQ39" s="28"/>
      <c r="AR39" s="638"/>
      <c r="AS39" s="28"/>
      <c r="AT39" s="28"/>
      <c r="AU39" s="28"/>
      <c r="AV39" s="28"/>
      <c r="AW39" s="638"/>
      <c r="AX39" s="28"/>
      <c r="AY39" s="28"/>
      <c r="AZ39" s="28"/>
      <c r="BA39" s="28"/>
      <c r="BB39" s="638"/>
      <c r="BC39" s="28"/>
      <c r="BD39" s="28"/>
      <c r="BE39" s="28"/>
      <c r="BF39" s="28"/>
      <c r="BG39" s="638"/>
      <c r="BH39" s="638"/>
      <c r="BI39" s="28"/>
      <c r="BJ39" s="28"/>
      <c r="BK39" s="28"/>
      <c r="BL39" s="638"/>
      <c r="BM39" s="638"/>
      <c r="BN39" s="359"/>
      <c r="BO39" s="359"/>
      <c r="BP39" s="359"/>
      <c r="BQ39" s="359"/>
      <c r="BR39" s="359"/>
      <c r="BS39" s="359"/>
      <c r="BT39" s="359"/>
    </row>
    <row r="40" spans="1:72" s="182" customFormat="1" ht="13">
      <c r="A40" s="676">
        <f t="shared" si="11"/>
        <v>34</v>
      </c>
      <c r="B40" s="251" t="s">
        <v>182</v>
      </c>
      <c r="D40" s="207"/>
      <c r="E40" s="208"/>
      <c r="F40" s="208"/>
      <c r="G40" s="208"/>
      <c r="H40" s="28"/>
      <c r="I40" s="28"/>
      <c r="J40" s="28"/>
      <c r="K40" s="208"/>
      <c r="L40" s="208"/>
      <c r="M40" s="28"/>
      <c r="N40" s="28"/>
      <c r="O40" s="28"/>
      <c r="P40" s="208"/>
      <c r="Q40" s="208"/>
      <c r="R40" s="2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391"/>
      <c r="BO40" s="391"/>
      <c r="BP40" s="391"/>
      <c r="BQ40" s="391"/>
      <c r="BR40" s="391"/>
      <c r="BS40" s="391"/>
      <c r="BT40" s="391"/>
    </row>
    <row r="41" spans="1:72" s="182" customFormat="1" ht="13">
      <c r="A41" s="676">
        <f t="shared" si="11"/>
        <v>35</v>
      </c>
      <c r="B41" s="252" t="s">
        <v>183</v>
      </c>
      <c r="E41" s="253" t="str">
        <f>+E$5</f>
        <v>FYE</v>
      </c>
      <c r="F41" s="253" t="str">
        <f t="shared" ref="F41:BQ41" si="89">+F$5</f>
        <v>FYE</v>
      </c>
      <c r="G41" s="253" t="str">
        <f t="shared" si="89"/>
        <v>FYE</v>
      </c>
      <c r="H41" s="634">
        <f t="shared" si="89"/>
        <v>1</v>
      </c>
      <c r="I41" s="634">
        <f t="shared" si="89"/>
        <v>2</v>
      </c>
      <c r="J41" s="634">
        <f t="shared" si="89"/>
        <v>3</v>
      </c>
      <c r="K41" s="634">
        <f t="shared" si="89"/>
        <v>4</v>
      </c>
      <c r="L41" s="253" t="str">
        <f t="shared" si="89"/>
        <v>FYE</v>
      </c>
      <c r="M41" s="634">
        <f t="shared" si="89"/>
        <v>1</v>
      </c>
      <c r="N41" s="634">
        <f t="shared" si="89"/>
        <v>2</v>
      </c>
      <c r="O41" s="634">
        <f t="shared" si="89"/>
        <v>3</v>
      </c>
      <c r="P41" s="634">
        <f t="shared" si="89"/>
        <v>4</v>
      </c>
      <c r="Q41" s="253" t="str">
        <f t="shared" si="89"/>
        <v>FYE</v>
      </c>
      <c r="R41" s="634">
        <f t="shared" si="89"/>
        <v>1</v>
      </c>
      <c r="S41" s="634">
        <f t="shared" si="89"/>
        <v>2</v>
      </c>
      <c r="T41" s="634">
        <f t="shared" si="89"/>
        <v>3</v>
      </c>
      <c r="U41" s="634">
        <f t="shared" si="89"/>
        <v>4</v>
      </c>
      <c r="V41" s="253" t="str">
        <f t="shared" si="89"/>
        <v>FYE</v>
      </c>
      <c r="W41" s="634">
        <f t="shared" si="89"/>
        <v>1</v>
      </c>
      <c r="X41" s="634">
        <f t="shared" si="89"/>
        <v>2</v>
      </c>
      <c r="Y41" s="634">
        <f t="shared" si="89"/>
        <v>3</v>
      </c>
      <c r="Z41" s="634">
        <f t="shared" si="89"/>
        <v>4</v>
      </c>
      <c r="AA41" s="253" t="str">
        <f t="shared" si="89"/>
        <v>FYE</v>
      </c>
      <c r="AB41" s="634">
        <f t="shared" si="89"/>
        <v>1</v>
      </c>
      <c r="AC41" s="634">
        <f t="shared" si="89"/>
        <v>2</v>
      </c>
      <c r="AD41" s="634">
        <f t="shared" si="89"/>
        <v>3</v>
      </c>
      <c r="AE41" s="634">
        <f t="shared" si="89"/>
        <v>4</v>
      </c>
      <c r="AF41" s="253" t="str">
        <f t="shared" si="89"/>
        <v>FYE</v>
      </c>
      <c r="AG41" s="634">
        <f t="shared" si="89"/>
        <v>1</v>
      </c>
      <c r="AH41" s="634">
        <f t="shared" si="89"/>
        <v>2</v>
      </c>
      <c r="AI41" s="634">
        <f t="shared" si="89"/>
        <v>3</v>
      </c>
      <c r="AJ41" s="634">
        <f t="shared" si="89"/>
        <v>4</v>
      </c>
      <c r="AK41" s="253" t="str">
        <f t="shared" si="89"/>
        <v>FYE</v>
      </c>
      <c r="AL41" s="634">
        <f t="shared" si="89"/>
        <v>1</v>
      </c>
      <c r="AM41" s="634">
        <f t="shared" si="89"/>
        <v>2</v>
      </c>
      <c r="AN41" s="634">
        <f t="shared" si="89"/>
        <v>3</v>
      </c>
      <c r="AO41" s="634">
        <f t="shared" si="89"/>
        <v>4</v>
      </c>
      <c r="AP41" s="253" t="str">
        <f t="shared" si="89"/>
        <v>FYE</v>
      </c>
      <c r="AQ41" s="634">
        <f t="shared" si="89"/>
        <v>1</v>
      </c>
      <c r="AR41" s="634">
        <f t="shared" si="89"/>
        <v>2</v>
      </c>
      <c r="AS41" s="634">
        <f t="shared" si="89"/>
        <v>3</v>
      </c>
      <c r="AT41" s="634">
        <f t="shared" si="89"/>
        <v>4</v>
      </c>
      <c r="AU41" s="253" t="str">
        <f t="shared" si="89"/>
        <v>FYE</v>
      </c>
      <c r="AV41" s="634">
        <f t="shared" si="89"/>
        <v>1</v>
      </c>
      <c r="AW41" s="634">
        <f t="shared" si="89"/>
        <v>2</v>
      </c>
      <c r="AX41" s="634">
        <f t="shared" si="89"/>
        <v>3</v>
      </c>
      <c r="AY41" s="634">
        <f t="shared" si="89"/>
        <v>4</v>
      </c>
      <c r="AZ41" s="253" t="str">
        <f t="shared" si="89"/>
        <v>FYE</v>
      </c>
      <c r="BA41" s="634">
        <f t="shared" si="89"/>
        <v>1</v>
      </c>
      <c r="BB41" s="634">
        <f t="shared" si="89"/>
        <v>2</v>
      </c>
      <c r="BC41" s="634">
        <f t="shared" si="89"/>
        <v>3</v>
      </c>
      <c r="BD41" s="634">
        <f t="shared" si="89"/>
        <v>4</v>
      </c>
      <c r="BE41" s="253" t="str">
        <f t="shared" si="89"/>
        <v>FYE</v>
      </c>
      <c r="BF41" s="634">
        <f t="shared" si="89"/>
        <v>1</v>
      </c>
      <c r="BG41" s="634">
        <f t="shared" si="89"/>
        <v>2</v>
      </c>
      <c r="BH41" s="634">
        <f t="shared" si="89"/>
        <v>3</v>
      </c>
      <c r="BI41" s="634">
        <f t="shared" si="89"/>
        <v>4</v>
      </c>
      <c r="BJ41" s="253" t="str">
        <f t="shared" si="89"/>
        <v>FYE</v>
      </c>
      <c r="BK41" s="634">
        <f t="shared" si="89"/>
        <v>1</v>
      </c>
      <c r="BL41" s="634">
        <f t="shared" si="89"/>
        <v>2</v>
      </c>
      <c r="BM41" s="634">
        <f t="shared" si="89"/>
        <v>3</v>
      </c>
      <c r="BN41" s="635">
        <f t="shared" si="89"/>
        <v>4</v>
      </c>
      <c r="BO41" s="361" t="str">
        <f t="shared" si="89"/>
        <v>FYE</v>
      </c>
      <c r="BP41" s="635">
        <f t="shared" si="89"/>
        <v>2</v>
      </c>
      <c r="BQ41" s="635">
        <f t="shared" si="89"/>
        <v>2</v>
      </c>
      <c r="BR41" s="635">
        <f>+BR$5</f>
        <v>2</v>
      </c>
      <c r="BS41" s="635">
        <f>+BS$5</f>
        <v>2</v>
      </c>
      <c r="BT41" s="361" t="str">
        <f>+BT$5</f>
        <v>FYE</v>
      </c>
    </row>
    <row r="42" spans="1:72" s="182" customFormat="1" ht="13">
      <c r="A42" s="676">
        <f t="shared" si="11"/>
        <v>36</v>
      </c>
      <c r="D42" s="209"/>
      <c r="E42" s="639">
        <f t="shared" ref="E42:AJ42" si="90">E6</f>
        <v>37256</v>
      </c>
      <c r="F42" s="639">
        <f t="shared" si="90"/>
        <v>37621</v>
      </c>
      <c r="G42" s="639">
        <f t="shared" si="90"/>
        <v>37986</v>
      </c>
      <c r="H42" s="123">
        <f t="shared" si="90"/>
        <v>38077</v>
      </c>
      <c r="I42" s="123">
        <f t="shared" si="90"/>
        <v>38168</v>
      </c>
      <c r="J42" s="123">
        <f t="shared" si="90"/>
        <v>38260</v>
      </c>
      <c r="K42" s="123">
        <f t="shared" si="90"/>
        <v>38352</v>
      </c>
      <c r="L42" s="639">
        <f t="shared" si="90"/>
        <v>38352</v>
      </c>
      <c r="M42" s="123">
        <f t="shared" si="90"/>
        <v>38442</v>
      </c>
      <c r="N42" s="123">
        <f t="shared" si="90"/>
        <v>38533</v>
      </c>
      <c r="O42" s="123">
        <f t="shared" si="90"/>
        <v>38625</v>
      </c>
      <c r="P42" s="123">
        <f t="shared" si="90"/>
        <v>38717</v>
      </c>
      <c r="Q42" s="639">
        <f t="shared" si="90"/>
        <v>38717</v>
      </c>
      <c r="R42" s="123">
        <f t="shared" si="90"/>
        <v>38807</v>
      </c>
      <c r="S42" s="123">
        <f t="shared" si="90"/>
        <v>38898</v>
      </c>
      <c r="T42" s="123">
        <f t="shared" si="90"/>
        <v>38990</v>
      </c>
      <c r="U42" s="123">
        <f t="shared" si="90"/>
        <v>39082</v>
      </c>
      <c r="V42" s="639">
        <f t="shared" si="90"/>
        <v>39082</v>
      </c>
      <c r="W42" s="123">
        <f t="shared" si="90"/>
        <v>39172</v>
      </c>
      <c r="X42" s="123">
        <f t="shared" si="90"/>
        <v>39263</v>
      </c>
      <c r="Y42" s="123">
        <f t="shared" si="90"/>
        <v>39355</v>
      </c>
      <c r="Z42" s="123">
        <f t="shared" si="90"/>
        <v>39447</v>
      </c>
      <c r="AA42" s="639">
        <f t="shared" si="90"/>
        <v>39447</v>
      </c>
      <c r="AB42" s="123">
        <f t="shared" si="90"/>
        <v>39538</v>
      </c>
      <c r="AC42" s="123">
        <f t="shared" si="90"/>
        <v>39629</v>
      </c>
      <c r="AD42" s="123">
        <f t="shared" si="90"/>
        <v>39721</v>
      </c>
      <c r="AE42" s="123">
        <f t="shared" si="90"/>
        <v>39813</v>
      </c>
      <c r="AF42" s="639">
        <f t="shared" si="90"/>
        <v>39813</v>
      </c>
      <c r="AG42" s="123">
        <f t="shared" si="90"/>
        <v>39903</v>
      </c>
      <c r="AH42" s="123">
        <f t="shared" si="90"/>
        <v>39994</v>
      </c>
      <c r="AI42" s="123">
        <f t="shared" si="90"/>
        <v>40086</v>
      </c>
      <c r="AJ42" s="123">
        <f t="shared" si="90"/>
        <v>40178</v>
      </c>
      <c r="AK42" s="639">
        <f t="shared" ref="AK42:BT42" si="91">AK6</f>
        <v>40178</v>
      </c>
      <c r="AL42" s="123">
        <f t="shared" si="91"/>
        <v>40268</v>
      </c>
      <c r="AM42" s="123">
        <f t="shared" si="91"/>
        <v>40359</v>
      </c>
      <c r="AN42" s="123">
        <f t="shared" si="91"/>
        <v>40451</v>
      </c>
      <c r="AO42" s="123">
        <f t="shared" si="91"/>
        <v>40543</v>
      </c>
      <c r="AP42" s="639">
        <f t="shared" si="91"/>
        <v>40543</v>
      </c>
      <c r="AQ42" s="123">
        <f t="shared" si="91"/>
        <v>40633</v>
      </c>
      <c r="AR42" s="123">
        <f t="shared" si="91"/>
        <v>40724</v>
      </c>
      <c r="AS42" s="123">
        <f t="shared" si="91"/>
        <v>40816</v>
      </c>
      <c r="AT42" s="123">
        <f t="shared" si="91"/>
        <v>40908</v>
      </c>
      <c r="AU42" s="639">
        <f t="shared" si="91"/>
        <v>40908</v>
      </c>
      <c r="AV42" s="123">
        <f t="shared" si="91"/>
        <v>40999</v>
      </c>
      <c r="AW42" s="123">
        <f t="shared" si="91"/>
        <v>41090</v>
      </c>
      <c r="AX42" s="123">
        <f t="shared" si="91"/>
        <v>41182</v>
      </c>
      <c r="AY42" s="123">
        <f t="shared" si="91"/>
        <v>41274</v>
      </c>
      <c r="AZ42" s="639">
        <f t="shared" si="91"/>
        <v>41274</v>
      </c>
      <c r="BA42" s="123">
        <f t="shared" si="91"/>
        <v>41364</v>
      </c>
      <c r="BB42" s="123">
        <f t="shared" si="91"/>
        <v>41455</v>
      </c>
      <c r="BC42" s="123">
        <f t="shared" si="91"/>
        <v>41547</v>
      </c>
      <c r="BD42" s="123">
        <f t="shared" si="91"/>
        <v>41639</v>
      </c>
      <c r="BE42" s="639">
        <f t="shared" si="91"/>
        <v>41639</v>
      </c>
      <c r="BF42" s="123">
        <f t="shared" si="91"/>
        <v>41729</v>
      </c>
      <c r="BG42" s="123">
        <f t="shared" si="91"/>
        <v>41820</v>
      </c>
      <c r="BH42" s="123">
        <f t="shared" si="91"/>
        <v>41912</v>
      </c>
      <c r="BI42" s="123">
        <f t="shared" si="91"/>
        <v>42004</v>
      </c>
      <c r="BJ42" s="639">
        <f t="shared" si="91"/>
        <v>42004</v>
      </c>
      <c r="BK42" s="123">
        <f t="shared" si="91"/>
        <v>42094</v>
      </c>
      <c r="BL42" s="123">
        <f>BL6</f>
        <v>42185</v>
      </c>
      <c r="BM42" s="123">
        <f>BM6</f>
        <v>42277</v>
      </c>
      <c r="BN42" s="362">
        <f t="shared" si="91"/>
        <v>42369</v>
      </c>
      <c r="BO42" s="363">
        <f t="shared" si="91"/>
        <v>42369</v>
      </c>
      <c r="BP42" s="362">
        <f t="shared" si="91"/>
        <v>42460</v>
      </c>
      <c r="BQ42" s="362">
        <f t="shared" si="91"/>
        <v>42551</v>
      </c>
      <c r="BR42" s="362">
        <f t="shared" si="91"/>
        <v>42643</v>
      </c>
      <c r="BS42" s="362">
        <f t="shared" si="91"/>
        <v>42735</v>
      </c>
      <c r="BT42" s="363">
        <f t="shared" si="91"/>
        <v>42735</v>
      </c>
    </row>
    <row r="43" spans="1:72" s="182" customFormat="1" ht="13">
      <c r="A43" s="676">
        <f t="shared" si="11"/>
        <v>37</v>
      </c>
      <c r="B43" s="188" t="s">
        <v>184</v>
      </c>
      <c r="D43" s="209"/>
      <c r="E43" s="254"/>
      <c r="F43" s="254"/>
      <c r="G43" s="254"/>
      <c r="H43" s="31"/>
      <c r="I43" s="31"/>
      <c r="J43" s="31"/>
      <c r="K43" s="31"/>
      <c r="L43" s="254"/>
      <c r="M43" s="31"/>
      <c r="N43" s="31"/>
      <c r="O43" s="31"/>
      <c r="P43" s="31"/>
      <c r="Q43" s="254"/>
      <c r="R43" s="31"/>
      <c r="S43" s="31"/>
      <c r="T43" s="31"/>
      <c r="U43" s="31"/>
      <c r="V43" s="254"/>
      <c r="W43" s="31"/>
      <c r="X43" s="31"/>
      <c r="Y43" s="31"/>
      <c r="Z43" s="31"/>
      <c r="AA43" s="254"/>
      <c r="AB43" s="31"/>
      <c r="AC43" s="31"/>
      <c r="AD43" s="31"/>
      <c r="AE43" s="31"/>
      <c r="AF43" s="254"/>
      <c r="AG43" s="31"/>
      <c r="AH43" s="31"/>
      <c r="AI43" s="31"/>
      <c r="AJ43" s="31"/>
      <c r="AK43" s="254"/>
      <c r="AL43" s="31"/>
      <c r="AM43" s="31"/>
      <c r="AN43" s="31"/>
      <c r="AO43" s="31"/>
      <c r="AP43" s="254"/>
      <c r="AQ43" s="31"/>
      <c r="AR43" s="31"/>
      <c r="AS43" s="31"/>
      <c r="AT43" s="31"/>
      <c r="AU43" s="254"/>
      <c r="AV43" s="31"/>
      <c r="AW43" s="31"/>
      <c r="AX43" s="31"/>
      <c r="AY43" s="31"/>
      <c r="AZ43" s="254"/>
      <c r="BA43" s="31"/>
      <c r="BB43" s="31"/>
      <c r="BC43" s="31"/>
      <c r="BD43" s="31"/>
      <c r="BE43" s="254"/>
      <c r="BF43" s="31"/>
      <c r="BG43" s="31"/>
      <c r="BH43" s="31"/>
      <c r="BI43" s="31"/>
      <c r="BJ43" s="254"/>
      <c r="BK43" s="31"/>
      <c r="BL43" s="31"/>
      <c r="BM43" s="31"/>
      <c r="BN43" s="392"/>
      <c r="BO43" s="393"/>
      <c r="BP43" s="392"/>
      <c r="BQ43" s="392"/>
      <c r="BR43" s="392"/>
      <c r="BS43" s="392"/>
      <c r="BT43" s="393"/>
    </row>
    <row r="44" spans="1:72" s="211" customFormat="1" ht="13" outlineLevel="1">
      <c r="A44" s="676">
        <f t="shared" si="11"/>
        <v>38</v>
      </c>
      <c r="B44" s="255" t="s">
        <v>185</v>
      </c>
      <c r="E44" s="237"/>
      <c r="F44" s="237"/>
      <c r="G44" s="237"/>
      <c r="H44" s="256"/>
      <c r="I44" s="256"/>
      <c r="J44" s="256"/>
      <c r="K44" s="256"/>
      <c r="L44" s="237"/>
      <c r="M44" s="256"/>
      <c r="N44" s="256"/>
      <c r="O44" s="256"/>
      <c r="P44" s="256"/>
      <c r="Q44" s="237"/>
      <c r="R44" s="256"/>
      <c r="S44" s="256"/>
      <c r="T44" s="256"/>
      <c r="U44" s="256"/>
      <c r="V44" s="237"/>
      <c r="W44" s="256"/>
      <c r="X44" s="256"/>
      <c r="Y44" s="256"/>
      <c r="Z44" s="256"/>
      <c r="AA44" s="237"/>
      <c r="AB44" s="256"/>
      <c r="AC44" s="256"/>
      <c r="AD44" s="256"/>
      <c r="AE44" s="256"/>
      <c r="AF44" s="237"/>
      <c r="AG44" s="256"/>
      <c r="AH44" s="256"/>
      <c r="AI44" s="256"/>
      <c r="AJ44" s="256"/>
      <c r="AK44" s="237"/>
      <c r="AL44" s="256"/>
      <c r="AM44" s="256"/>
      <c r="AN44" s="256"/>
      <c r="AO44" s="256"/>
      <c r="AP44" s="237"/>
      <c r="AQ44" s="256"/>
      <c r="AR44" s="256"/>
      <c r="AS44" s="256"/>
      <c r="AT44" s="256"/>
      <c r="AU44" s="237"/>
      <c r="AV44" s="256"/>
      <c r="AW44" s="256"/>
      <c r="AX44" s="256"/>
      <c r="AY44" s="256"/>
      <c r="AZ44" s="237"/>
      <c r="BA44" s="256"/>
      <c r="BB44" s="256"/>
      <c r="BC44" s="256"/>
      <c r="BD44" s="256"/>
      <c r="BE44" s="237"/>
      <c r="BF44" s="256"/>
      <c r="BG44" s="256"/>
      <c r="BH44" s="256"/>
      <c r="BI44" s="256"/>
      <c r="BJ44" s="237"/>
      <c r="BK44" s="256"/>
      <c r="BL44" s="256"/>
      <c r="BM44" s="256"/>
      <c r="BN44" s="394"/>
      <c r="BO44" s="369"/>
      <c r="BP44" s="394"/>
      <c r="BQ44" s="394"/>
      <c r="BR44" s="394"/>
      <c r="BS44" s="394"/>
      <c r="BT44" s="369"/>
    </row>
    <row r="45" spans="1:72" s="211" customFormat="1" ht="13" outlineLevel="1">
      <c r="A45" s="676">
        <f t="shared" si="11"/>
        <v>39</v>
      </c>
      <c r="B45" s="257" t="s">
        <v>186</v>
      </c>
      <c r="E45" s="258"/>
      <c r="F45" s="258" t="e">
        <f>F44/E44-1</f>
        <v>#DIV/0!</v>
      </c>
      <c r="G45" s="258" t="e">
        <f>G44/F44-1</f>
        <v>#DIV/0!</v>
      </c>
      <c r="H45" s="107"/>
      <c r="I45" s="107"/>
      <c r="J45" s="107"/>
      <c r="K45" s="107"/>
      <c r="L45" s="258" t="e">
        <f>L44/G44-1</f>
        <v>#DIV/0!</v>
      </c>
      <c r="M45" s="107" t="e">
        <f>M44/H44-1</f>
        <v>#DIV/0!</v>
      </c>
      <c r="N45" s="107" t="e">
        <f>N44/I44-1</f>
        <v>#DIV/0!</v>
      </c>
      <c r="O45" s="107" t="e">
        <f t="shared" ref="O45:AB45" si="92">O44/J44-1</f>
        <v>#DIV/0!</v>
      </c>
      <c r="P45" s="107" t="e">
        <f t="shared" si="92"/>
        <v>#DIV/0!</v>
      </c>
      <c r="Q45" s="258" t="e">
        <f t="shared" si="92"/>
        <v>#DIV/0!</v>
      </c>
      <c r="R45" s="107" t="e">
        <f t="shared" si="92"/>
        <v>#DIV/0!</v>
      </c>
      <c r="S45" s="107" t="e">
        <f t="shared" si="92"/>
        <v>#DIV/0!</v>
      </c>
      <c r="T45" s="107" t="e">
        <f t="shared" si="92"/>
        <v>#DIV/0!</v>
      </c>
      <c r="U45" s="107" t="e">
        <f t="shared" si="92"/>
        <v>#DIV/0!</v>
      </c>
      <c r="V45" s="258" t="e">
        <f t="shared" si="92"/>
        <v>#DIV/0!</v>
      </c>
      <c r="W45" s="107" t="e">
        <f t="shared" si="92"/>
        <v>#DIV/0!</v>
      </c>
      <c r="X45" s="107" t="e">
        <f>X44/S44-1</f>
        <v>#DIV/0!</v>
      </c>
      <c r="Y45" s="107" t="e">
        <f>Y44/T44-1</f>
        <v>#DIV/0!</v>
      </c>
      <c r="Z45" s="107" t="e">
        <f t="shared" si="92"/>
        <v>#DIV/0!</v>
      </c>
      <c r="AA45" s="258" t="e">
        <f t="shared" si="92"/>
        <v>#DIV/0!</v>
      </c>
      <c r="AB45" s="107" t="e">
        <f t="shared" si="92"/>
        <v>#DIV/0!</v>
      </c>
      <c r="AC45" s="107" t="e">
        <f t="shared" ref="AC45:BO45" si="93">AC44/X44-1</f>
        <v>#DIV/0!</v>
      </c>
      <c r="AD45" s="107" t="e">
        <f t="shared" si="93"/>
        <v>#DIV/0!</v>
      </c>
      <c r="AE45" s="107" t="e">
        <f t="shared" si="93"/>
        <v>#DIV/0!</v>
      </c>
      <c r="AF45" s="258" t="e">
        <f t="shared" si="93"/>
        <v>#DIV/0!</v>
      </c>
      <c r="AG45" s="107" t="e">
        <f t="shared" si="93"/>
        <v>#DIV/0!</v>
      </c>
      <c r="AH45" s="107" t="e">
        <f t="shared" si="93"/>
        <v>#DIV/0!</v>
      </c>
      <c r="AI45" s="107" t="e">
        <f t="shared" si="93"/>
        <v>#DIV/0!</v>
      </c>
      <c r="AJ45" s="107" t="e">
        <f t="shared" si="93"/>
        <v>#DIV/0!</v>
      </c>
      <c r="AK45" s="258" t="e">
        <f t="shared" si="93"/>
        <v>#DIV/0!</v>
      </c>
      <c r="AL45" s="107" t="e">
        <f t="shared" si="93"/>
        <v>#DIV/0!</v>
      </c>
      <c r="AM45" s="107" t="e">
        <f t="shared" si="93"/>
        <v>#DIV/0!</v>
      </c>
      <c r="AN45" s="107" t="e">
        <f t="shared" si="93"/>
        <v>#DIV/0!</v>
      </c>
      <c r="AO45" s="107" t="e">
        <f t="shared" si="93"/>
        <v>#DIV/0!</v>
      </c>
      <c r="AP45" s="258" t="e">
        <f t="shared" si="93"/>
        <v>#DIV/0!</v>
      </c>
      <c r="AQ45" s="107" t="e">
        <f t="shared" si="93"/>
        <v>#DIV/0!</v>
      </c>
      <c r="AR45" s="107" t="e">
        <f t="shared" si="93"/>
        <v>#DIV/0!</v>
      </c>
      <c r="AS45" s="107" t="e">
        <f t="shared" si="93"/>
        <v>#DIV/0!</v>
      </c>
      <c r="AT45" s="107" t="e">
        <f t="shared" ref="AT45:BB45" si="94">AT44/AO44-1</f>
        <v>#DIV/0!</v>
      </c>
      <c r="AU45" s="258" t="e">
        <f t="shared" si="94"/>
        <v>#DIV/0!</v>
      </c>
      <c r="AV45" s="107" t="e">
        <f t="shared" si="94"/>
        <v>#DIV/0!</v>
      </c>
      <c r="AW45" s="107" t="e">
        <f t="shared" si="94"/>
        <v>#DIV/0!</v>
      </c>
      <c r="AX45" s="107" t="e">
        <f t="shared" si="94"/>
        <v>#DIV/0!</v>
      </c>
      <c r="AY45" s="107" t="e">
        <f t="shared" si="94"/>
        <v>#DIV/0!</v>
      </c>
      <c r="AZ45" s="258" t="e">
        <f t="shared" si="94"/>
        <v>#DIV/0!</v>
      </c>
      <c r="BA45" s="107" t="e">
        <f t="shared" si="94"/>
        <v>#DIV/0!</v>
      </c>
      <c r="BB45" s="107" t="e">
        <f t="shared" si="94"/>
        <v>#DIV/0!</v>
      </c>
      <c r="BC45" s="107" t="e">
        <f t="shared" ref="BC45:BH45" si="95">BC44/AX44-1</f>
        <v>#DIV/0!</v>
      </c>
      <c r="BD45" s="107" t="e">
        <f t="shared" si="95"/>
        <v>#DIV/0!</v>
      </c>
      <c r="BE45" s="258" t="e">
        <f t="shared" si="95"/>
        <v>#DIV/0!</v>
      </c>
      <c r="BF45" s="107" t="e">
        <f t="shared" si="95"/>
        <v>#DIV/0!</v>
      </c>
      <c r="BG45" s="107" t="e">
        <f t="shared" si="95"/>
        <v>#DIV/0!</v>
      </c>
      <c r="BH45" s="107" t="e">
        <f t="shared" si="95"/>
        <v>#DIV/0!</v>
      </c>
      <c r="BI45" s="107" t="e">
        <f>BI44/BD44-1</f>
        <v>#DIV/0!</v>
      </c>
      <c r="BJ45" s="258" t="e">
        <f>BJ44/BE44-1</f>
        <v>#DIV/0!</v>
      </c>
      <c r="BK45" s="107" t="e">
        <f>BK44/BF44-1</f>
        <v>#DIV/0!</v>
      </c>
      <c r="BL45" s="107" t="e">
        <f>BL44/BG44-1</f>
        <v>#DIV/0!</v>
      </c>
      <c r="BM45" s="107" t="e">
        <f>BM44/BH44-1</f>
        <v>#DIV/0!</v>
      </c>
      <c r="BN45" s="395" t="e">
        <f t="shared" si="93"/>
        <v>#DIV/0!</v>
      </c>
      <c r="BO45" s="396" t="e">
        <f t="shared" si="93"/>
        <v>#DIV/0!</v>
      </c>
      <c r="BP45" s="395" t="e">
        <f>BP44/BK44-1</f>
        <v>#DIV/0!</v>
      </c>
      <c r="BQ45" s="395" t="e">
        <f>BQ44/BL44-1</f>
        <v>#DIV/0!</v>
      </c>
      <c r="BR45" s="395" t="e">
        <f>BR44/BM44-1</f>
        <v>#DIV/0!</v>
      </c>
      <c r="BS45" s="395" t="e">
        <f>BS44/BN44-1</f>
        <v>#DIV/0!</v>
      </c>
      <c r="BT45" s="396" t="e">
        <f>BT44/BO44-1</f>
        <v>#DIV/0!</v>
      </c>
    </row>
    <row r="46" spans="1:72" s="211" customFormat="1" ht="13" outlineLevel="1">
      <c r="A46" s="676">
        <f t="shared" si="11"/>
        <v>40</v>
      </c>
      <c r="B46" s="257" t="s">
        <v>187</v>
      </c>
      <c r="E46" s="258" t="e">
        <f t="shared" ref="E46:W46" si="96">E44/E$59</f>
        <v>#DIV/0!</v>
      </c>
      <c r="F46" s="258" t="e">
        <f t="shared" si="96"/>
        <v>#DIV/0!</v>
      </c>
      <c r="G46" s="258" t="e">
        <f t="shared" si="96"/>
        <v>#DIV/0!</v>
      </c>
      <c r="H46" s="107" t="e">
        <f t="shared" si="96"/>
        <v>#DIV/0!</v>
      </c>
      <c r="I46" s="107" t="e">
        <f t="shared" si="96"/>
        <v>#DIV/0!</v>
      </c>
      <c r="J46" s="107" t="e">
        <f t="shared" si="96"/>
        <v>#DIV/0!</v>
      </c>
      <c r="K46" s="107" t="e">
        <f t="shared" si="96"/>
        <v>#DIV/0!</v>
      </c>
      <c r="L46" s="258" t="e">
        <f t="shared" si="96"/>
        <v>#DIV/0!</v>
      </c>
      <c r="M46" s="107" t="e">
        <f t="shared" si="96"/>
        <v>#DIV/0!</v>
      </c>
      <c r="N46" s="107" t="e">
        <f t="shared" si="96"/>
        <v>#DIV/0!</v>
      </c>
      <c r="O46" s="107" t="e">
        <f t="shared" si="96"/>
        <v>#DIV/0!</v>
      </c>
      <c r="P46" s="107" t="e">
        <f t="shared" si="96"/>
        <v>#DIV/0!</v>
      </c>
      <c r="Q46" s="258" t="e">
        <f t="shared" si="96"/>
        <v>#DIV/0!</v>
      </c>
      <c r="R46" s="107" t="e">
        <f t="shared" si="96"/>
        <v>#DIV/0!</v>
      </c>
      <c r="S46" s="107" t="e">
        <f t="shared" si="96"/>
        <v>#DIV/0!</v>
      </c>
      <c r="T46" s="107" t="e">
        <f t="shared" si="96"/>
        <v>#DIV/0!</v>
      </c>
      <c r="U46" s="107" t="e">
        <f t="shared" si="96"/>
        <v>#DIV/0!</v>
      </c>
      <c r="V46" s="258" t="e">
        <f t="shared" si="96"/>
        <v>#DIV/0!</v>
      </c>
      <c r="W46" s="107" t="e">
        <f t="shared" si="96"/>
        <v>#DIV/0!</v>
      </c>
      <c r="X46" s="107" t="e">
        <f t="shared" ref="X46:AD46" si="97">X44/X$59</f>
        <v>#DIV/0!</v>
      </c>
      <c r="Y46" s="107" t="e">
        <f t="shared" si="97"/>
        <v>#DIV/0!</v>
      </c>
      <c r="Z46" s="107" t="e">
        <f t="shared" si="97"/>
        <v>#DIV/0!</v>
      </c>
      <c r="AA46" s="258" t="e">
        <f t="shared" si="97"/>
        <v>#DIV/0!</v>
      </c>
      <c r="AB46" s="107" t="e">
        <f t="shared" si="97"/>
        <v>#DIV/0!</v>
      </c>
      <c r="AC46" s="107" t="e">
        <f t="shared" si="97"/>
        <v>#DIV/0!</v>
      </c>
      <c r="AD46" s="107" t="e">
        <f t="shared" si="97"/>
        <v>#DIV/0!</v>
      </c>
      <c r="AE46" s="107" t="e">
        <f t="shared" ref="AE46:AJ46" si="98">AE44/AE$59</f>
        <v>#DIV/0!</v>
      </c>
      <c r="AF46" s="258" t="e">
        <f t="shared" si="98"/>
        <v>#DIV/0!</v>
      </c>
      <c r="AG46" s="107" t="e">
        <f t="shared" si="98"/>
        <v>#DIV/0!</v>
      </c>
      <c r="AH46" s="107" t="e">
        <f t="shared" si="98"/>
        <v>#DIV/0!</v>
      </c>
      <c r="AI46" s="107" t="e">
        <f t="shared" si="98"/>
        <v>#DIV/0!</v>
      </c>
      <c r="AJ46" s="107" t="e">
        <f t="shared" si="98"/>
        <v>#DIV/0!</v>
      </c>
      <c r="AK46" s="258" t="e">
        <f t="shared" ref="AK46:AP46" si="99">AK44/AK$59</f>
        <v>#DIV/0!</v>
      </c>
      <c r="AL46" s="107" t="e">
        <f t="shared" si="99"/>
        <v>#DIV/0!</v>
      </c>
      <c r="AM46" s="107" t="e">
        <f t="shared" si="99"/>
        <v>#DIV/0!</v>
      </c>
      <c r="AN46" s="107" t="e">
        <f t="shared" si="99"/>
        <v>#DIV/0!</v>
      </c>
      <c r="AO46" s="107" t="e">
        <f t="shared" si="99"/>
        <v>#DIV/0!</v>
      </c>
      <c r="AP46" s="258" t="e">
        <f t="shared" si="99"/>
        <v>#DIV/0!</v>
      </c>
      <c r="AQ46" s="107" t="e">
        <f>AQ44/AQ$59</f>
        <v>#DIV/0!</v>
      </c>
      <c r="AR46" s="107" t="e">
        <f>AR44/AR$59</f>
        <v>#DIV/0!</v>
      </c>
      <c r="AS46" s="107" t="e">
        <f>AS44/AS$59</f>
        <v>#DIV/0!</v>
      </c>
      <c r="AT46" s="107" t="e">
        <f>AT44/AT$59</f>
        <v>#DIV/0!</v>
      </c>
      <c r="AU46" s="258" t="e">
        <f>AU44/AU$59</f>
        <v>#DIV/0!</v>
      </c>
      <c r="AV46" s="107" t="e">
        <f t="shared" ref="AV46:BA46" si="100">AV44/AV$59</f>
        <v>#DIV/0!</v>
      </c>
      <c r="AW46" s="107" t="e">
        <f t="shared" si="100"/>
        <v>#DIV/0!</v>
      </c>
      <c r="AX46" s="107" t="e">
        <f t="shared" si="100"/>
        <v>#DIV/0!</v>
      </c>
      <c r="AY46" s="107" t="e">
        <f t="shared" si="100"/>
        <v>#DIV/0!</v>
      </c>
      <c r="AZ46" s="258" t="e">
        <f t="shared" si="100"/>
        <v>#DIV/0!</v>
      </c>
      <c r="BA46" s="107" t="e">
        <f t="shared" si="100"/>
        <v>#DIV/0!</v>
      </c>
      <c r="BB46" s="107" t="e">
        <f t="shared" ref="BB46:BG46" si="101">BB44/BB$59</f>
        <v>#DIV/0!</v>
      </c>
      <c r="BC46" s="107" t="e">
        <f t="shared" si="101"/>
        <v>#DIV/0!</v>
      </c>
      <c r="BD46" s="107" t="e">
        <f t="shared" si="101"/>
        <v>#DIV/0!</v>
      </c>
      <c r="BE46" s="258" t="e">
        <f t="shared" si="101"/>
        <v>#DIV/0!</v>
      </c>
      <c r="BF46" s="107" t="e">
        <f t="shared" si="101"/>
        <v>#DIV/0!</v>
      </c>
      <c r="BG46" s="107" t="e">
        <f t="shared" si="101"/>
        <v>#DIV/0!</v>
      </c>
      <c r="BH46" s="107" t="e">
        <f t="shared" ref="BH46:BT46" si="102">BH44/BH$59</f>
        <v>#DIV/0!</v>
      </c>
      <c r="BI46" s="107" t="e">
        <f t="shared" si="102"/>
        <v>#DIV/0!</v>
      </c>
      <c r="BJ46" s="258" t="e">
        <f t="shared" si="102"/>
        <v>#DIV/0!</v>
      </c>
      <c r="BK46" s="107" t="e">
        <f t="shared" si="102"/>
        <v>#DIV/0!</v>
      </c>
      <c r="BL46" s="107" t="e">
        <f t="shared" si="102"/>
        <v>#DIV/0!</v>
      </c>
      <c r="BM46" s="107" t="e">
        <f>BM44/BM$59</f>
        <v>#DIV/0!</v>
      </c>
      <c r="BN46" s="395" t="e">
        <f t="shared" si="102"/>
        <v>#DIV/0!</v>
      </c>
      <c r="BO46" s="396" t="e">
        <f t="shared" si="102"/>
        <v>#DIV/0!</v>
      </c>
      <c r="BP46" s="395" t="e">
        <f t="shared" si="102"/>
        <v>#DIV/0!</v>
      </c>
      <c r="BQ46" s="395" t="e">
        <f t="shared" si="102"/>
        <v>#DIV/0!</v>
      </c>
      <c r="BR46" s="395" t="e">
        <f t="shared" si="102"/>
        <v>#DIV/0!</v>
      </c>
      <c r="BS46" s="395" t="e">
        <f t="shared" si="102"/>
        <v>#DIV/0!</v>
      </c>
      <c r="BT46" s="396" t="e">
        <f t="shared" si="102"/>
        <v>#DIV/0!</v>
      </c>
    </row>
    <row r="47" spans="1:72" s="211" customFormat="1" ht="13" outlineLevel="1">
      <c r="A47" s="676">
        <f t="shared" si="11"/>
        <v>41</v>
      </c>
      <c r="B47" s="255" t="s">
        <v>188</v>
      </c>
      <c r="E47" s="237"/>
      <c r="F47" s="237"/>
      <c r="G47" s="237"/>
      <c r="H47" s="256"/>
      <c r="I47" s="256"/>
      <c r="J47" s="256"/>
      <c r="K47" s="256"/>
      <c r="L47" s="237"/>
      <c r="M47" s="256"/>
      <c r="N47" s="256"/>
      <c r="O47" s="256"/>
      <c r="P47" s="256"/>
      <c r="Q47" s="237"/>
      <c r="R47" s="256"/>
      <c r="S47" s="256"/>
      <c r="T47" s="256"/>
      <c r="U47" s="256"/>
      <c r="V47" s="237"/>
      <c r="W47" s="256"/>
      <c r="X47" s="256"/>
      <c r="Y47" s="256"/>
      <c r="Z47" s="256"/>
      <c r="AA47" s="237"/>
      <c r="AB47" s="256"/>
      <c r="AC47" s="256"/>
      <c r="AD47" s="256"/>
      <c r="AE47" s="256"/>
      <c r="AF47" s="237"/>
      <c r="AG47" s="256"/>
      <c r="AH47" s="256"/>
      <c r="AI47" s="256"/>
      <c r="AJ47" s="256"/>
      <c r="AK47" s="237"/>
      <c r="AL47" s="256"/>
      <c r="AM47" s="256"/>
      <c r="AN47" s="256"/>
      <c r="AO47" s="256"/>
      <c r="AP47" s="237"/>
      <c r="AQ47" s="256"/>
      <c r="AR47" s="256"/>
      <c r="AS47" s="256"/>
      <c r="AT47" s="256"/>
      <c r="AU47" s="237"/>
      <c r="AV47" s="256"/>
      <c r="AW47" s="256"/>
      <c r="AX47" s="256"/>
      <c r="AY47" s="256"/>
      <c r="AZ47" s="237"/>
      <c r="BA47" s="256"/>
      <c r="BB47" s="256"/>
      <c r="BC47" s="256"/>
      <c r="BD47" s="256"/>
      <c r="BE47" s="237"/>
      <c r="BF47" s="256"/>
      <c r="BG47" s="256"/>
      <c r="BH47" s="256"/>
      <c r="BI47" s="256"/>
      <c r="BJ47" s="237"/>
      <c r="BK47" s="256"/>
      <c r="BL47" s="256"/>
      <c r="BM47" s="256"/>
      <c r="BN47" s="394"/>
      <c r="BO47" s="369"/>
      <c r="BP47" s="394"/>
      <c r="BQ47" s="394"/>
      <c r="BR47" s="394"/>
      <c r="BS47" s="394"/>
      <c r="BT47" s="369"/>
    </row>
    <row r="48" spans="1:72" s="211" customFormat="1" ht="13" outlineLevel="1">
      <c r="A48" s="676">
        <f t="shared" si="11"/>
        <v>42</v>
      </c>
      <c r="B48" s="257" t="s">
        <v>186</v>
      </c>
      <c r="E48" s="258"/>
      <c r="F48" s="258" t="e">
        <f>F47/E47-1</f>
        <v>#DIV/0!</v>
      </c>
      <c r="G48" s="258" t="e">
        <f>G47/F47-1</f>
        <v>#DIV/0!</v>
      </c>
      <c r="H48" s="107"/>
      <c r="I48" s="107"/>
      <c r="J48" s="107"/>
      <c r="K48" s="107"/>
      <c r="L48" s="258" t="e">
        <f t="shared" ref="L48:AB48" si="103">L47/G47-1</f>
        <v>#DIV/0!</v>
      </c>
      <c r="M48" s="107" t="e">
        <f t="shared" si="103"/>
        <v>#DIV/0!</v>
      </c>
      <c r="N48" s="107" t="e">
        <f t="shared" si="103"/>
        <v>#DIV/0!</v>
      </c>
      <c r="O48" s="107" t="e">
        <f t="shared" si="103"/>
        <v>#DIV/0!</v>
      </c>
      <c r="P48" s="107" t="e">
        <f t="shared" si="103"/>
        <v>#DIV/0!</v>
      </c>
      <c r="Q48" s="258" t="e">
        <f t="shared" si="103"/>
        <v>#DIV/0!</v>
      </c>
      <c r="R48" s="107" t="e">
        <f t="shared" si="103"/>
        <v>#DIV/0!</v>
      </c>
      <c r="S48" s="107" t="e">
        <f t="shared" si="103"/>
        <v>#DIV/0!</v>
      </c>
      <c r="T48" s="107" t="e">
        <f t="shared" si="103"/>
        <v>#DIV/0!</v>
      </c>
      <c r="U48" s="107" t="e">
        <f t="shared" si="103"/>
        <v>#DIV/0!</v>
      </c>
      <c r="V48" s="258" t="e">
        <f t="shared" si="103"/>
        <v>#DIV/0!</v>
      </c>
      <c r="W48" s="107" t="e">
        <f t="shared" si="103"/>
        <v>#DIV/0!</v>
      </c>
      <c r="X48" s="107" t="e">
        <f>X47/S47-1</f>
        <v>#DIV/0!</v>
      </c>
      <c r="Y48" s="107" t="e">
        <f>Y47/T47-1</f>
        <v>#DIV/0!</v>
      </c>
      <c r="Z48" s="107" t="e">
        <f t="shared" si="103"/>
        <v>#DIV/0!</v>
      </c>
      <c r="AA48" s="258" t="e">
        <f t="shared" si="103"/>
        <v>#DIV/0!</v>
      </c>
      <c r="AB48" s="107" t="e">
        <f t="shared" si="103"/>
        <v>#DIV/0!</v>
      </c>
      <c r="AC48" s="107" t="e">
        <f t="shared" ref="AC48:BO48" si="104">AC47/X47-1</f>
        <v>#DIV/0!</v>
      </c>
      <c r="AD48" s="107" t="e">
        <f t="shared" si="104"/>
        <v>#DIV/0!</v>
      </c>
      <c r="AE48" s="107" t="e">
        <f t="shared" si="104"/>
        <v>#DIV/0!</v>
      </c>
      <c r="AF48" s="258" t="e">
        <f t="shared" si="104"/>
        <v>#DIV/0!</v>
      </c>
      <c r="AG48" s="107" t="e">
        <f t="shared" si="104"/>
        <v>#DIV/0!</v>
      </c>
      <c r="AH48" s="107" t="e">
        <f t="shared" si="104"/>
        <v>#DIV/0!</v>
      </c>
      <c r="AI48" s="107" t="e">
        <f t="shared" si="104"/>
        <v>#DIV/0!</v>
      </c>
      <c r="AJ48" s="107" t="e">
        <f t="shared" si="104"/>
        <v>#DIV/0!</v>
      </c>
      <c r="AK48" s="258" t="e">
        <f t="shared" si="104"/>
        <v>#DIV/0!</v>
      </c>
      <c r="AL48" s="107" t="e">
        <f t="shared" si="104"/>
        <v>#DIV/0!</v>
      </c>
      <c r="AM48" s="107" t="e">
        <f t="shared" si="104"/>
        <v>#DIV/0!</v>
      </c>
      <c r="AN48" s="107" t="e">
        <f t="shared" si="104"/>
        <v>#DIV/0!</v>
      </c>
      <c r="AO48" s="107" t="e">
        <f t="shared" si="104"/>
        <v>#DIV/0!</v>
      </c>
      <c r="AP48" s="258" t="e">
        <f t="shared" si="104"/>
        <v>#DIV/0!</v>
      </c>
      <c r="AQ48" s="107" t="e">
        <f t="shared" si="104"/>
        <v>#DIV/0!</v>
      </c>
      <c r="AR48" s="107" t="e">
        <f t="shared" si="104"/>
        <v>#DIV/0!</v>
      </c>
      <c r="AS48" s="107" t="e">
        <f t="shared" si="104"/>
        <v>#DIV/0!</v>
      </c>
      <c r="AT48" s="107" t="e">
        <f t="shared" ref="AT48:BB48" si="105">AT47/AO47-1</f>
        <v>#DIV/0!</v>
      </c>
      <c r="AU48" s="258" t="e">
        <f t="shared" si="105"/>
        <v>#DIV/0!</v>
      </c>
      <c r="AV48" s="107" t="e">
        <f t="shared" si="105"/>
        <v>#DIV/0!</v>
      </c>
      <c r="AW48" s="107" t="e">
        <f t="shared" si="105"/>
        <v>#DIV/0!</v>
      </c>
      <c r="AX48" s="107" t="e">
        <f t="shared" si="105"/>
        <v>#DIV/0!</v>
      </c>
      <c r="AY48" s="107" t="e">
        <f t="shared" si="105"/>
        <v>#DIV/0!</v>
      </c>
      <c r="AZ48" s="258" t="e">
        <f t="shared" si="105"/>
        <v>#DIV/0!</v>
      </c>
      <c r="BA48" s="107" t="e">
        <f t="shared" si="105"/>
        <v>#DIV/0!</v>
      </c>
      <c r="BB48" s="107" t="e">
        <f t="shared" si="105"/>
        <v>#DIV/0!</v>
      </c>
      <c r="BC48" s="107" t="e">
        <f t="shared" ref="BC48:BH48" si="106">BC47/AX47-1</f>
        <v>#DIV/0!</v>
      </c>
      <c r="BD48" s="107" t="e">
        <f t="shared" si="106"/>
        <v>#DIV/0!</v>
      </c>
      <c r="BE48" s="258" t="e">
        <f t="shared" si="106"/>
        <v>#DIV/0!</v>
      </c>
      <c r="BF48" s="107" t="e">
        <f t="shared" si="106"/>
        <v>#DIV/0!</v>
      </c>
      <c r="BG48" s="107" t="e">
        <f t="shared" si="106"/>
        <v>#DIV/0!</v>
      </c>
      <c r="BH48" s="107" t="e">
        <f t="shared" si="106"/>
        <v>#DIV/0!</v>
      </c>
      <c r="BI48" s="107" t="e">
        <f>BI47/BD47-1</f>
        <v>#DIV/0!</v>
      </c>
      <c r="BJ48" s="258" t="e">
        <f>BJ47/BE47-1</f>
        <v>#DIV/0!</v>
      </c>
      <c r="BK48" s="107" t="e">
        <f>BK47/BF47-1</f>
        <v>#DIV/0!</v>
      </c>
      <c r="BL48" s="107" t="e">
        <f>BL47/BG47-1</f>
        <v>#DIV/0!</v>
      </c>
      <c r="BM48" s="107" t="e">
        <f>BM47/BH47-1</f>
        <v>#DIV/0!</v>
      </c>
      <c r="BN48" s="395" t="e">
        <f t="shared" si="104"/>
        <v>#DIV/0!</v>
      </c>
      <c r="BO48" s="396" t="e">
        <f t="shared" si="104"/>
        <v>#DIV/0!</v>
      </c>
      <c r="BP48" s="395" t="e">
        <f>BP47/BK47-1</f>
        <v>#DIV/0!</v>
      </c>
      <c r="BQ48" s="395" t="e">
        <f>BQ47/BL47-1</f>
        <v>#DIV/0!</v>
      </c>
      <c r="BR48" s="395" t="e">
        <f>BR47/BM47-1</f>
        <v>#DIV/0!</v>
      </c>
      <c r="BS48" s="395" t="e">
        <f>BS47/BN47-1</f>
        <v>#DIV/0!</v>
      </c>
      <c r="BT48" s="396" t="e">
        <f>BT47/BO47-1</f>
        <v>#DIV/0!</v>
      </c>
    </row>
    <row r="49" spans="1:72" s="211" customFormat="1" ht="13" outlineLevel="1">
      <c r="A49" s="676">
        <f t="shared" si="11"/>
        <v>43</v>
      </c>
      <c r="B49" s="257" t="s">
        <v>187</v>
      </c>
      <c r="E49" s="258" t="e">
        <f t="shared" ref="E49:W49" si="107">E47/E$59</f>
        <v>#DIV/0!</v>
      </c>
      <c r="F49" s="258" t="e">
        <f t="shared" si="107"/>
        <v>#DIV/0!</v>
      </c>
      <c r="G49" s="258" t="e">
        <f t="shared" si="107"/>
        <v>#DIV/0!</v>
      </c>
      <c r="H49" s="107" t="e">
        <f t="shared" si="107"/>
        <v>#DIV/0!</v>
      </c>
      <c r="I49" s="107" t="e">
        <f t="shared" si="107"/>
        <v>#DIV/0!</v>
      </c>
      <c r="J49" s="107" t="e">
        <f t="shared" si="107"/>
        <v>#DIV/0!</v>
      </c>
      <c r="K49" s="107" t="e">
        <f t="shared" si="107"/>
        <v>#DIV/0!</v>
      </c>
      <c r="L49" s="258" t="e">
        <f t="shared" si="107"/>
        <v>#DIV/0!</v>
      </c>
      <c r="M49" s="107" t="e">
        <f t="shared" si="107"/>
        <v>#DIV/0!</v>
      </c>
      <c r="N49" s="107" t="e">
        <f t="shared" si="107"/>
        <v>#DIV/0!</v>
      </c>
      <c r="O49" s="107" t="e">
        <f t="shared" si="107"/>
        <v>#DIV/0!</v>
      </c>
      <c r="P49" s="107" t="e">
        <f t="shared" si="107"/>
        <v>#DIV/0!</v>
      </c>
      <c r="Q49" s="258" t="e">
        <f t="shared" si="107"/>
        <v>#DIV/0!</v>
      </c>
      <c r="R49" s="107" t="e">
        <f t="shared" si="107"/>
        <v>#DIV/0!</v>
      </c>
      <c r="S49" s="107" t="e">
        <f t="shared" si="107"/>
        <v>#DIV/0!</v>
      </c>
      <c r="T49" s="107" t="e">
        <f t="shared" si="107"/>
        <v>#DIV/0!</v>
      </c>
      <c r="U49" s="107" t="e">
        <f t="shared" si="107"/>
        <v>#DIV/0!</v>
      </c>
      <c r="V49" s="258" t="e">
        <f t="shared" si="107"/>
        <v>#DIV/0!</v>
      </c>
      <c r="W49" s="107" t="e">
        <f t="shared" si="107"/>
        <v>#DIV/0!</v>
      </c>
      <c r="X49" s="107" t="e">
        <f t="shared" ref="X49:AD49" si="108">X47/X$59</f>
        <v>#DIV/0!</v>
      </c>
      <c r="Y49" s="107" t="e">
        <f t="shared" si="108"/>
        <v>#DIV/0!</v>
      </c>
      <c r="Z49" s="107" t="e">
        <f t="shared" si="108"/>
        <v>#DIV/0!</v>
      </c>
      <c r="AA49" s="258" t="e">
        <f t="shared" si="108"/>
        <v>#DIV/0!</v>
      </c>
      <c r="AB49" s="107" t="e">
        <f t="shared" si="108"/>
        <v>#DIV/0!</v>
      </c>
      <c r="AC49" s="107" t="e">
        <f t="shared" si="108"/>
        <v>#DIV/0!</v>
      </c>
      <c r="AD49" s="107" t="e">
        <f t="shared" si="108"/>
        <v>#DIV/0!</v>
      </c>
      <c r="AE49" s="107" t="e">
        <f t="shared" ref="AE49:AJ49" si="109">AE47/AE$59</f>
        <v>#DIV/0!</v>
      </c>
      <c r="AF49" s="258" t="e">
        <f t="shared" si="109"/>
        <v>#DIV/0!</v>
      </c>
      <c r="AG49" s="107" t="e">
        <f t="shared" si="109"/>
        <v>#DIV/0!</v>
      </c>
      <c r="AH49" s="107" t="e">
        <f t="shared" si="109"/>
        <v>#DIV/0!</v>
      </c>
      <c r="AI49" s="107" t="e">
        <f t="shared" si="109"/>
        <v>#DIV/0!</v>
      </c>
      <c r="AJ49" s="107" t="e">
        <f t="shared" si="109"/>
        <v>#DIV/0!</v>
      </c>
      <c r="AK49" s="258" t="e">
        <f t="shared" ref="AK49:AP49" si="110">AK47/AK$59</f>
        <v>#DIV/0!</v>
      </c>
      <c r="AL49" s="107" t="e">
        <f t="shared" si="110"/>
        <v>#DIV/0!</v>
      </c>
      <c r="AM49" s="107" t="e">
        <f t="shared" si="110"/>
        <v>#DIV/0!</v>
      </c>
      <c r="AN49" s="107" t="e">
        <f t="shared" si="110"/>
        <v>#DIV/0!</v>
      </c>
      <c r="AO49" s="107" t="e">
        <f t="shared" si="110"/>
        <v>#DIV/0!</v>
      </c>
      <c r="AP49" s="258" t="e">
        <f t="shared" si="110"/>
        <v>#DIV/0!</v>
      </c>
      <c r="AQ49" s="107" t="e">
        <f>AQ47/AQ$59</f>
        <v>#DIV/0!</v>
      </c>
      <c r="AR49" s="107" t="e">
        <f>AR47/AR$59</f>
        <v>#DIV/0!</v>
      </c>
      <c r="AS49" s="107" t="e">
        <f>AS47/AS$59</f>
        <v>#DIV/0!</v>
      </c>
      <c r="AT49" s="107" t="e">
        <f>AT47/AT$59</f>
        <v>#DIV/0!</v>
      </c>
      <c r="AU49" s="258" t="e">
        <f>AU47/AU$59</f>
        <v>#DIV/0!</v>
      </c>
      <c r="AV49" s="107" t="e">
        <f t="shared" ref="AV49:BA49" si="111">AV47/AV$59</f>
        <v>#DIV/0!</v>
      </c>
      <c r="AW49" s="107" t="e">
        <f t="shared" si="111"/>
        <v>#DIV/0!</v>
      </c>
      <c r="AX49" s="107" t="e">
        <f t="shared" si="111"/>
        <v>#DIV/0!</v>
      </c>
      <c r="AY49" s="107" t="e">
        <f t="shared" si="111"/>
        <v>#DIV/0!</v>
      </c>
      <c r="AZ49" s="258" t="e">
        <f t="shared" si="111"/>
        <v>#DIV/0!</v>
      </c>
      <c r="BA49" s="107" t="e">
        <f t="shared" si="111"/>
        <v>#DIV/0!</v>
      </c>
      <c r="BB49" s="107" t="e">
        <f t="shared" ref="BB49:BG49" si="112">BB47/BB$59</f>
        <v>#DIV/0!</v>
      </c>
      <c r="BC49" s="107" t="e">
        <f t="shared" si="112"/>
        <v>#DIV/0!</v>
      </c>
      <c r="BD49" s="107" t="e">
        <f t="shared" si="112"/>
        <v>#DIV/0!</v>
      </c>
      <c r="BE49" s="258" t="e">
        <f t="shared" si="112"/>
        <v>#DIV/0!</v>
      </c>
      <c r="BF49" s="107" t="e">
        <f t="shared" si="112"/>
        <v>#DIV/0!</v>
      </c>
      <c r="BG49" s="107" t="e">
        <f t="shared" si="112"/>
        <v>#DIV/0!</v>
      </c>
      <c r="BH49" s="107" t="e">
        <f t="shared" ref="BH49:BT49" si="113">BH47/BH$59</f>
        <v>#DIV/0!</v>
      </c>
      <c r="BI49" s="107" t="e">
        <f t="shared" si="113"/>
        <v>#DIV/0!</v>
      </c>
      <c r="BJ49" s="258" t="e">
        <f t="shared" si="113"/>
        <v>#DIV/0!</v>
      </c>
      <c r="BK49" s="107" t="e">
        <f t="shared" si="113"/>
        <v>#DIV/0!</v>
      </c>
      <c r="BL49" s="107" t="e">
        <f t="shared" si="113"/>
        <v>#DIV/0!</v>
      </c>
      <c r="BM49" s="107" t="e">
        <f>BM47/BM$59</f>
        <v>#DIV/0!</v>
      </c>
      <c r="BN49" s="395" t="e">
        <f t="shared" si="113"/>
        <v>#DIV/0!</v>
      </c>
      <c r="BO49" s="396" t="e">
        <f t="shared" si="113"/>
        <v>#DIV/0!</v>
      </c>
      <c r="BP49" s="395" t="e">
        <f t="shared" si="113"/>
        <v>#DIV/0!</v>
      </c>
      <c r="BQ49" s="395" t="e">
        <f t="shared" si="113"/>
        <v>#DIV/0!</v>
      </c>
      <c r="BR49" s="395" t="e">
        <f t="shared" si="113"/>
        <v>#DIV/0!</v>
      </c>
      <c r="BS49" s="395" t="e">
        <f t="shared" si="113"/>
        <v>#DIV/0!</v>
      </c>
      <c r="BT49" s="396" t="e">
        <f t="shared" si="113"/>
        <v>#DIV/0!</v>
      </c>
    </row>
    <row r="50" spans="1:72" s="190" customFormat="1" ht="13" outlineLevel="1">
      <c r="A50" s="676">
        <f t="shared" si="11"/>
        <v>44</v>
      </c>
      <c r="B50" s="259" t="s">
        <v>189</v>
      </c>
      <c r="E50" s="260"/>
      <c r="F50" s="260"/>
      <c r="G50" s="260"/>
      <c r="H50" s="210"/>
      <c r="I50" s="210"/>
      <c r="J50" s="210"/>
      <c r="K50" s="210"/>
      <c r="L50" s="260"/>
      <c r="M50" s="210"/>
      <c r="N50" s="210"/>
      <c r="O50" s="210"/>
      <c r="P50" s="210"/>
      <c r="Q50" s="260"/>
      <c r="R50" s="210"/>
      <c r="S50" s="210"/>
      <c r="T50" s="210"/>
      <c r="U50" s="210"/>
      <c r="V50" s="260"/>
      <c r="W50" s="210"/>
      <c r="X50" s="210"/>
      <c r="Y50" s="210"/>
      <c r="Z50" s="210"/>
      <c r="AA50" s="260"/>
      <c r="AB50" s="210"/>
      <c r="AC50" s="210"/>
      <c r="AD50" s="210"/>
      <c r="AE50" s="210"/>
      <c r="AF50" s="260"/>
      <c r="AG50" s="210"/>
      <c r="AH50" s="210"/>
      <c r="AI50" s="210"/>
      <c r="AJ50" s="210"/>
      <c r="AK50" s="260"/>
      <c r="AL50" s="210"/>
      <c r="AM50" s="210"/>
      <c r="AN50" s="210"/>
      <c r="AO50" s="210"/>
      <c r="AP50" s="260"/>
      <c r="AQ50" s="210"/>
      <c r="AR50" s="210"/>
      <c r="AS50" s="210"/>
      <c r="AT50" s="210"/>
      <c r="AU50" s="260"/>
      <c r="AV50" s="210"/>
      <c r="AW50" s="210"/>
      <c r="AX50" s="210"/>
      <c r="AY50" s="210"/>
      <c r="AZ50" s="260"/>
      <c r="BA50" s="210"/>
      <c r="BB50" s="210"/>
      <c r="BC50" s="210"/>
      <c r="BD50" s="210"/>
      <c r="BE50" s="260"/>
      <c r="BF50" s="210"/>
      <c r="BG50" s="210"/>
      <c r="BH50" s="210"/>
      <c r="BI50" s="210"/>
      <c r="BJ50" s="260"/>
      <c r="BK50" s="210"/>
      <c r="BL50" s="210"/>
      <c r="BM50" s="210"/>
      <c r="BN50" s="397"/>
      <c r="BO50" s="398"/>
      <c r="BP50" s="397"/>
      <c r="BQ50" s="397"/>
      <c r="BR50" s="397"/>
      <c r="BS50" s="397"/>
      <c r="BT50" s="398"/>
    </row>
    <row r="51" spans="1:72" s="190" customFormat="1" ht="13" outlineLevel="1">
      <c r="A51" s="676">
        <f t="shared" si="11"/>
        <v>45</v>
      </c>
      <c r="B51" s="257" t="s">
        <v>186</v>
      </c>
      <c r="E51" s="258"/>
      <c r="F51" s="258" t="e">
        <f>F50/E50-1</f>
        <v>#DIV/0!</v>
      </c>
      <c r="G51" s="258" t="e">
        <f>G50/F50-1</f>
        <v>#DIV/0!</v>
      </c>
      <c r="H51" s="107"/>
      <c r="I51" s="107"/>
      <c r="J51" s="107"/>
      <c r="K51" s="107"/>
      <c r="L51" s="258" t="e">
        <f t="shared" ref="L51:AB51" si="114">L50/G50-1</f>
        <v>#DIV/0!</v>
      </c>
      <c r="M51" s="107" t="e">
        <f t="shared" si="114"/>
        <v>#DIV/0!</v>
      </c>
      <c r="N51" s="107" t="e">
        <f t="shared" si="114"/>
        <v>#DIV/0!</v>
      </c>
      <c r="O51" s="107" t="e">
        <f t="shared" si="114"/>
        <v>#DIV/0!</v>
      </c>
      <c r="P51" s="107" t="e">
        <f t="shared" si="114"/>
        <v>#DIV/0!</v>
      </c>
      <c r="Q51" s="258" t="e">
        <f t="shared" si="114"/>
        <v>#DIV/0!</v>
      </c>
      <c r="R51" s="107" t="e">
        <f t="shared" si="114"/>
        <v>#DIV/0!</v>
      </c>
      <c r="S51" s="107" t="e">
        <f t="shared" si="114"/>
        <v>#DIV/0!</v>
      </c>
      <c r="T51" s="107" t="e">
        <f t="shared" si="114"/>
        <v>#DIV/0!</v>
      </c>
      <c r="U51" s="107" t="e">
        <f t="shared" si="114"/>
        <v>#DIV/0!</v>
      </c>
      <c r="V51" s="258" t="e">
        <f t="shared" si="114"/>
        <v>#DIV/0!</v>
      </c>
      <c r="W51" s="107" t="e">
        <f t="shared" si="114"/>
        <v>#DIV/0!</v>
      </c>
      <c r="X51" s="107" t="e">
        <f>X50/S50-1</f>
        <v>#DIV/0!</v>
      </c>
      <c r="Y51" s="107" t="e">
        <f>Y50/T50-1</f>
        <v>#DIV/0!</v>
      </c>
      <c r="Z51" s="107" t="e">
        <f t="shared" si="114"/>
        <v>#DIV/0!</v>
      </c>
      <c r="AA51" s="258" t="e">
        <f t="shared" si="114"/>
        <v>#DIV/0!</v>
      </c>
      <c r="AB51" s="107" t="e">
        <f t="shared" si="114"/>
        <v>#DIV/0!</v>
      </c>
      <c r="AC51" s="107" t="e">
        <f t="shared" ref="AC51:BO51" si="115">AC50/X50-1</f>
        <v>#DIV/0!</v>
      </c>
      <c r="AD51" s="107" t="e">
        <f t="shared" si="115"/>
        <v>#DIV/0!</v>
      </c>
      <c r="AE51" s="107" t="e">
        <f t="shared" si="115"/>
        <v>#DIV/0!</v>
      </c>
      <c r="AF51" s="258" t="e">
        <f t="shared" si="115"/>
        <v>#DIV/0!</v>
      </c>
      <c r="AG51" s="107" t="e">
        <f t="shared" si="115"/>
        <v>#DIV/0!</v>
      </c>
      <c r="AH51" s="107" t="e">
        <f t="shared" si="115"/>
        <v>#DIV/0!</v>
      </c>
      <c r="AI51" s="107" t="e">
        <f t="shared" si="115"/>
        <v>#DIV/0!</v>
      </c>
      <c r="AJ51" s="107" t="e">
        <f t="shared" si="115"/>
        <v>#DIV/0!</v>
      </c>
      <c r="AK51" s="258" t="e">
        <f t="shared" si="115"/>
        <v>#DIV/0!</v>
      </c>
      <c r="AL51" s="107" t="e">
        <f t="shared" si="115"/>
        <v>#DIV/0!</v>
      </c>
      <c r="AM51" s="107" t="e">
        <f t="shared" si="115"/>
        <v>#DIV/0!</v>
      </c>
      <c r="AN51" s="107" t="e">
        <f t="shared" si="115"/>
        <v>#DIV/0!</v>
      </c>
      <c r="AO51" s="107" t="e">
        <f t="shared" si="115"/>
        <v>#DIV/0!</v>
      </c>
      <c r="AP51" s="258" t="e">
        <f t="shared" si="115"/>
        <v>#DIV/0!</v>
      </c>
      <c r="AQ51" s="107" t="e">
        <f t="shared" si="115"/>
        <v>#DIV/0!</v>
      </c>
      <c r="AR51" s="107" t="e">
        <f t="shared" si="115"/>
        <v>#DIV/0!</v>
      </c>
      <c r="AS51" s="107" t="e">
        <f t="shared" si="115"/>
        <v>#DIV/0!</v>
      </c>
      <c r="AT51" s="107" t="e">
        <f t="shared" ref="AT51:BB51" si="116">AT50/AO50-1</f>
        <v>#DIV/0!</v>
      </c>
      <c r="AU51" s="258" t="e">
        <f t="shared" si="116"/>
        <v>#DIV/0!</v>
      </c>
      <c r="AV51" s="107" t="e">
        <f t="shared" si="116"/>
        <v>#DIV/0!</v>
      </c>
      <c r="AW51" s="107" t="e">
        <f t="shared" si="116"/>
        <v>#DIV/0!</v>
      </c>
      <c r="AX51" s="107" t="e">
        <f t="shared" si="116"/>
        <v>#DIV/0!</v>
      </c>
      <c r="AY51" s="107" t="e">
        <f t="shared" si="116"/>
        <v>#DIV/0!</v>
      </c>
      <c r="AZ51" s="258" t="e">
        <f t="shared" si="116"/>
        <v>#DIV/0!</v>
      </c>
      <c r="BA51" s="107" t="e">
        <f t="shared" si="116"/>
        <v>#DIV/0!</v>
      </c>
      <c r="BB51" s="107" t="e">
        <f t="shared" si="116"/>
        <v>#DIV/0!</v>
      </c>
      <c r="BC51" s="107" t="e">
        <f t="shared" ref="BC51:BH51" si="117">BC50/AX50-1</f>
        <v>#DIV/0!</v>
      </c>
      <c r="BD51" s="107" t="e">
        <f t="shared" si="117"/>
        <v>#DIV/0!</v>
      </c>
      <c r="BE51" s="258" t="e">
        <f t="shared" si="117"/>
        <v>#DIV/0!</v>
      </c>
      <c r="BF51" s="107" t="e">
        <f t="shared" si="117"/>
        <v>#DIV/0!</v>
      </c>
      <c r="BG51" s="107" t="e">
        <f t="shared" si="117"/>
        <v>#DIV/0!</v>
      </c>
      <c r="BH51" s="107" t="e">
        <f t="shared" si="117"/>
        <v>#DIV/0!</v>
      </c>
      <c r="BI51" s="107" t="e">
        <f>BI50/BD50-1</f>
        <v>#DIV/0!</v>
      </c>
      <c r="BJ51" s="258" t="e">
        <f>BJ50/BE50-1</f>
        <v>#DIV/0!</v>
      </c>
      <c r="BK51" s="107" t="e">
        <f>BK50/BF50-1</f>
        <v>#DIV/0!</v>
      </c>
      <c r="BL51" s="107" t="e">
        <f>BL50/BG50-1</f>
        <v>#DIV/0!</v>
      </c>
      <c r="BM51" s="107" t="e">
        <f>BM50/BH50-1</f>
        <v>#DIV/0!</v>
      </c>
      <c r="BN51" s="395" t="e">
        <f t="shared" si="115"/>
        <v>#DIV/0!</v>
      </c>
      <c r="BO51" s="396" t="e">
        <f t="shared" si="115"/>
        <v>#DIV/0!</v>
      </c>
      <c r="BP51" s="395" t="e">
        <f>BP50/BK50-1</f>
        <v>#DIV/0!</v>
      </c>
      <c r="BQ51" s="395" t="e">
        <f>BQ50/BL50-1</f>
        <v>#DIV/0!</v>
      </c>
      <c r="BR51" s="395" t="e">
        <f>BR50/BM50-1</f>
        <v>#DIV/0!</v>
      </c>
      <c r="BS51" s="395" t="e">
        <f>BS50/BN50-1</f>
        <v>#DIV/0!</v>
      </c>
      <c r="BT51" s="396" t="e">
        <f>BT50/BO50-1</f>
        <v>#DIV/0!</v>
      </c>
    </row>
    <row r="52" spans="1:72" s="190" customFormat="1" ht="13" outlineLevel="1">
      <c r="A52" s="676">
        <f t="shared" si="11"/>
        <v>46</v>
      </c>
      <c r="B52" s="257" t="s">
        <v>187</v>
      </c>
      <c r="E52" s="258" t="e">
        <f t="shared" ref="E52:W52" si="118">E50/E$59</f>
        <v>#DIV/0!</v>
      </c>
      <c r="F52" s="258" t="e">
        <f t="shared" si="118"/>
        <v>#DIV/0!</v>
      </c>
      <c r="G52" s="258" t="e">
        <f t="shared" si="118"/>
        <v>#DIV/0!</v>
      </c>
      <c r="H52" s="107" t="e">
        <f t="shared" si="118"/>
        <v>#DIV/0!</v>
      </c>
      <c r="I52" s="107" t="e">
        <f t="shared" si="118"/>
        <v>#DIV/0!</v>
      </c>
      <c r="J52" s="107" t="e">
        <f t="shared" si="118"/>
        <v>#DIV/0!</v>
      </c>
      <c r="K52" s="107" t="e">
        <f t="shared" si="118"/>
        <v>#DIV/0!</v>
      </c>
      <c r="L52" s="258" t="e">
        <f t="shared" si="118"/>
        <v>#DIV/0!</v>
      </c>
      <c r="M52" s="107" t="e">
        <f t="shared" si="118"/>
        <v>#DIV/0!</v>
      </c>
      <c r="N52" s="107" t="e">
        <f t="shared" si="118"/>
        <v>#DIV/0!</v>
      </c>
      <c r="O52" s="107" t="e">
        <f t="shared" si="118"/>
        <v>#DIV/0!</v>
      </c>
      <c r="P52" s="107" t="e">
        <f t="shared" si="118"/>
        <v>#DIV/0!</v>
      </c>
      <c r="Q52" s="258" t="e">
        <f t="shared" si="118"/>
        <v>#DIV/0!</v>
      </c>
      <c r="R52" s="107" t="e">
        <f t="shared" si="118"/>
        <v>#DIV/0!</v>
      </c>
      <c r="S52" s="107" t="e">
        <f t="shared" si="118"/>
        <v>#DIV/0!</v>
      </c>
      <c r="T52" s="107" t="e">
        <f t="shared" si="118"/>
        <v>#DIV/0!</v>
      </c>
      <c r="U52" s="107" t="e">
        <f t="shared" si="118"/>
        <v>#DIV/0!</v>
      </c>
      <c r="V52" s="258" t="e">
        <f t="shared" si="118"/>
        <v>#DIV/0!</v>
      </c>
      <c r="W52" s="107" t="e">
        <f t="shared" si="118"/>
        <v>#DIV/0!</v>
      </c>
      <c r="X52" s="107" t="e">
        <f t="shared" ref="X52:AD52" si="119">X50/X$59</f>
        <v>#DIV/0!</v>
      </c>
      <c r="Y52" s="107" t="e">
        <f t="shared" si="119"/>
        <v>#DIV/0!</v>
      </c>
      <c r="Z52" s="107" t="e">
        <f t="shared" si="119"/>
        <v>#DIV/0!</v>
      </c>
      <c r="AA52" s="258" t="e">
        <f t="shared" si="119"/>
        <v>#DIV/0!</v>
      </c>
      <c r="AB52" s="107" t="e">
        <f t="shared" si="119"/>
        <v>#DIV/0!</v>
      </c>
      <c r="AC52" s="107" t="e">
        <f t="shared" si="119"/>
        <v>#DIV/0!</v>
      </c>
      <c r="AD52" s="107" t="e">
        <f t="shared" si="119"/>
        <v>#DIV/0!</v>
      </c>
      <c r="AE52" s="107" t="e">
        <f t="shared" ref="AE52:AJ52" si="120">AE50/AE$59</f>
        <v>#DIV/0!</v>
      </c>
      <c r="AF52" s="258" t="e">
        <f t="shared" si="120"/>
        <v>#DIV/0!</v>
      </c>
      <c r="AG52" s="107" t="e">
        <f t="shared" si="120"/>
        <v>#DIV/0!</v>
      </c>
      <c r="AH52" s="107" t="e">
        <f t="shared" si="120"/>
        <v>#DIV/0!</v>
      </c>
      <c r="AI52" s="107" t="e">
        <f t="shared" si="120"/>
        <v>#DIV/0!</v>
      </c>
      <c r="AJ52" s="107" t="e">
        <f t="shared" si="120"/>
        <v>#DIV/0!</v>
      </c>
      <c r="AK52" s="258" t="e">
        <f t="shared" ref="AK52:AP52" si="121">AK50/AK$59</f>
        <v>#DIV/0!</v>
      </c>
      <c r="AL52" s="107" t="e">
        <f t="shared" si="121"/>
        <v>#DIV/0!</v>
      </c>
      <c r="AM52" s="107" t="e">
        <f t="shared" si="121"/>
        <v>#DIV/0!</v>
      </c>
      <c r="AN52" s="107" t="e">
        <f t="shared" si="121"/>
        <v>#DIV/0!</v>
      </c>
      <c r="AO52" s="107" t="e">
        <f t="shared" si="121"/>
        <v>#DIV/0!</v>
      </c>
      <c r="AP52" s="258" t="e">
        <f t="shared" si="121"/>
        <v>#DIV/0!</v>
      </c>
      <c r="AQ52" s="107" t="e">
        <f>AQ50/AQ$59</f>
        <v>#DIV/0!</v>
      </c>
      <c r="AR52" s="107" t="e">
        <f>AR50/AR$59</f>
        <v>#DIV/0!</v>
      </c>
      <c r="AS52" s="107" t="e">
        <f>AS50/AS$59</f>
        <v>#DIV/0!</v>
      </c>
      <c r="AT52" s="107" t="e">
        <f>AT50/AT$59</f>
        <v>#DIV/0!</v>
      </c>
      <c r="AU52" s="258" t="e">
        <f>AU50/AU$59</f>
        <v>#DIV/0!</v>
      </c>
      <c r="AV52" s="107" t="e">
        <f t="shared" ref="AV52:BA52" si="122">AV50/AV$59</f>
        <v>#DIV/0!</v>
      </c>
      <c r="AW52" s="107" t="e">
        <f t="shared" si="122"/>
        <v>#DIV/0!</v>
      </c>
      <c r="AX52" s="107" t="e">
        <f t="shared" si="122"/>
        <v>#DIV/0!</v>
      </c>
      <c r="AY52" s="107" t="e">
        <f t="shared" si="122"/>
        <v>#DIV/0!</v>
      </c>
      <c r="AZ52" s="258" t="e">
        <f t="shared" si="122"/>
        <v>#DIV/0!</v>
      </c>
      <c r="BA52" s="107" t="e">
        <f t="shared" si="122"/>
        <v>#DIV/0!</v>
      </c>
      <c r="BB52" s="107" t="e">
        <f t="shared" ref="BB52:BG52" si="123">BB50/BB$59</f>
        <v>#DIV/0!</v>
      </c>
      <c r="BC52" s="107" t="e">
        <f t="shared" si="123"/>
        <v>#DIV/0!</v>
      </c>
      <c r="BD52" s="107" t="e">
        <f t="shared" si="123"/>
        <v>#DIV/0!</v>
      </c>
      <c r="BE52" s="258" t="e">
        <f t="shared" si="123"/>
        <v>#DIV/0!</v>
      </c>
      <c r="BF52" s="107" t="e">
        <f t="shared" si="123"/>
        <v>#DIV/0!</v>
      </c>
      <c r="BG52" s="107" t="e">
        <f t="shared" si="123"/>
        <v>#DIV/0!</v>
      </c>
      <c r="BH52" s="107" t="e">
        <f t="shared" ref="BH52:BT52" si="124">BH50/BH$59</f>
        <v>#DIV/0!</v>
      </c>
      <c r="BI52" s="107" t="e">
        <f t="shared" si="124"/>
        <v>#DIV/0!</v>
      </c>
      <c r="BJ52" s="258" t="e">
        <f t="shared" si="124"/>
        <v>#DIV/0!</v>
      </c>
      <c r="BK52" s="107" t="e">
        <f t="shared" si="124"/>
        <v>#DIV/0!</v>
      </c>
      <c r="BL52" s="107" t="e">
        <f t="shared" si="124"/>
        <v>#DIV/0!</v>
      </c>
      <c r="BM52" s="107" t="e">
        <f>BM50/BM$59</f>
        <v>#DIV/0!</v>
      </c>
      <c r="BN52" s="395" t="e">
        <f t="shared" si="124"/>
        <v>#DIV/0!</v>
      </c>
      <c r="BO52" s="396" t="e">
        <f t="shared" si="124"/>
        <v>#DIV/0!</v>
      </c>
      <c r="BP52" s="395" t="e">
        <f t="shared" si="124"/>
        <v>#DIV/0!</v>
      </c>
      <c r="BQ52" s="395" t="e">
        <f t="shared" si="124"/>
        <v>#DIV/0!</v>
      </c>
      <c r="BR52" s="395" t="e">
        <f t="shared" si="124"/>
        <v>#DIV/0!</v>
      </c>
      <c r="BS52" s="395" t="e">
        <f t="shared" si="124"/>
        <v>#DIV/0!</v>
      </c>
      <c r="BT52" s="396" t="e">
        <f t="shared" si="124"/>
        <v>#DIV/0!</v>
      </c>
    </row>
    <row r="53" spans="1:72" s="190" customFormat="1" ht="13" outlineLevel="1">
      <c r="A53" s="676">
        <f t="shared" si="11"/>
        <v>47</v>
      </c>
      <c r="B53" s="259" t="s">
        <v>190</v>
      </c>
      <c r="E53" s="260"/>
      <c r="F53" s="260"/>
      <c r="G53" s="260"/>
      <c r="H53" s="210"/>
      <c r="I53" s="210"/>
      <c r="J53" s="210"/>
      <c r="K53" s="210"/>
      <c r="L53" s="260"/>
      <c r="M53" s="210"/>
      <c r="N53" s="210"/>
      <c r="O53" s="210">
        <v>0</v>
      </c>
      <c r="P53" s="210"/>
      <c r="Q53" s="260"/>
      <c r="R53" s="210">
        <v>0</v>
      </c>
      <c r="S53" s="210"/>
      <c r="T53" s="210">
        <v>0</v>
      </c>
      <c r="U53" s="210"/>
      <c r="V53" s="260">
        <v>0</v>
      </c>
      <c r="W53" s="210">
        <v>0</v>
      </c>
      <c r="X53" s="210"/>
      <c r="Y53" s="210">
        <v>0</v>
      </c>
      <c r="Z53" s="210"/>
      <c r="AA53" s="260">
        <v>0</v>
      </c>
      <c r="AB53" s="210">
        <v>0</v>
      </c>
      <c r="AC53" s="210"/>
      <c r="AD53" s="210">
        <v>0</v>
      </c>
      <c r="AE53" s="210"/>
      <c r="AF53" s="260"/>
      <c r="AG53" s="210">
        <v>0</v>
      </c>
      <c r="AH53" s="210"/>
      <c r="AI53" s="210">
        <v>0</v>
      </c>
      <c r="AJ53" s="210"/>
      <c r="AK53" s="260"/>
      <c r="AL53" s="210">
        <v>0</v>
      </c>
      <c r="AM53" s="210"/>
      <c r="AN53" s="210">
        <v>0</v>
      </c>
      <c r="AO53" s="210"/>
      <c r="AP53" s="260"/>
      <c r="AQ53" s="210">
        <v>0</v>
      </c>
      <c r="AR53" s="210"/>
      <c r="AS53" s="210">
        <v>0</v>
      </c>
      <c r="AT53" s="210"/>
      <c r="AU53" s="260"/>
      <c r="AV53" s="210">
        <v>0</v>
      </c>
      <c r="AW53" s="210"/>
      <c r="AX53" s="210">
        <v>0</v>
      </c>
      <c r="AY53" s="210"/>
      <c r="AZ53" s="260"/>
      <c r="BA53" s="210">
        <v>0</v>
      </c>
      <c r="BB53" s="210"/>
      <c r="BC53" s="210">
        <v>0</v>
      </c>
      <c r="BD53" s="210"/>
      <c r="BE53" s="260"/>
      <c r="BF53" s="210">
        <v>0</v>
      </c>
      <c r="BG53" s="210"/>
      <c r="BH53" s="210"/>
      <c r="BI53" s="210"/>
      <c r="BJ53" s="260"/>
      <c r="BK53" s="210">
        <v>0</v>
      </c>
      <c r="BL53" s="210"/>
      <c r="BM53" s="210"/>
      <c r="BN53" s="397"/>
      <c r="BO53" s="398"/>
      <c r="BP53" s="397"/>
      <c r="BQ53" s="397"/>
      <c r="BR53" s="397"/>
      <c r="BS53" s="397"/>
      <c r="BT53" s="398"/>
    </row>
    <row r="54" spans="1:72" s="190" customFormat="1" ht="13" outlineLevel="1">
      <c r="A54" s="676">
        <f t="shared" si="11"/>
        <v>48</v>
      </c>
      <c r="B54" s="257" t="s">
        <v>186</v>
      </c>
      <c r="E54" s="258"/>
      <c r="F54" s="258" t="e">
        <f>F53/E53-1</f>
        <v>#DIV/0!</v>
      </c>
      <c r="G54" s="258" t="e">
        <f>G53/F53-1</f>
        <v>#DIV/0!</v>
      </c>
      <c r="H54" s="107"/>
      <c r="I54" s="107"/>
      <c r="J54" s="107"/>
      <c r="K54" s="107"/>
      <c r="L54" s="258" t="e">
        <f>L53/G53-1</f>
        <v>#DIV/0!</v>
      </c>
      <c r="M54" s="107" t="e">
        <f>M53/H53-1</f>
        <v>#DIV/0!</v>
      </c>
      <c r="N54" s="107" t="e">
        <f>N53/I53-1</f>
        <v>#DIV/0!</v>
      </c>
      <c r="O54" s="107" t="e">
        <f t="shared" ref="O54:AB54" si="125">O53/J53-1</f>
        <v>#DIV/0!</v>
      </c>
      <c r="P54" s="107" t="e">
        <f t="shared" si="125"/>
        <v>#DIV/0!</v>
      </c>
      <c r="Q54" s="258" t="e">
        <f t="shared" si="125"/>
        <v>#DIV/0!</v>
      </c>
      <c r="R54" s="107" t="e">
        <f t="shared" si="125"/>
        <v>#DIV/0!</v>
      </c>
      <c r="S54" s="107" t="e">
        <f t="shared" si="125"/>
        <v>#DIV/0!</v>
      </c>
      <c r="T54" s="107" t="e">
        <f t="shared" si="125"/>
        <v>#DIV/0!</v>
      </c>
      <c r="U54" s="107" t="e">
        <f t="shared" si="125"/>
        <v>#DIV/0!</v>
      </c>
      <c r="V54" s="258" t="e">
        <f t="shared" si="125"/>
        <v>#DIV/0!</v>
      </c>
      <c r="W54" s="107" t="e">
        <f t="shared" si="125"/>
        <v>#DIV/0!</v>
      </c>
      <c r="X54" s="107" t="e">
        <f>X53/S53-1</f>
        <v>#DIV/0!</v>
      </c>
      <c r="Y54" s="107" t="e">
        <f>Y53/T53-1</f>
        <v>#DIV/0!</v>
      </c>
      <c r="Z54" s="107" t="e">
        <f t="shared" si="125"/>
        <v>#DIV/0!</v>
      </c>
      <c r="AA54" s="258" t="e">
        <f t="shared" si="125"/>
        <v>#DIV/0!</v>
      </c>
      <c r="AB54" s="107" t="e">
        <f t="shared" si="125"/>
        <v>#DIV/0!</v>
      </c>
      <c r="AC54" s="107" t="e">
        <f t="shared" ref="AC54:BO54" si="126">AC53/X53-1</f>
        <v>#DIV/0!</v>
      </c>
      <c r="AD54" s="107" t="e">
        <f t="shared" si="126"/>
        <v>#DIV/0!</v>
      </c>
      <c r="AE54" s="107" t="e">
        <f t="shared" si="126"/>
        <v>#DIV/0!</v>
      </c>
      <c r="AF54" s="258" t="e">
        <f t="shared" si="126"/>
        <v>#DIV/0!</v>
      </c>
      <c r="AG54" s="107" t="e">
        <f t="shared" si="126"/>
        <v>#DIV/0!</v>
      </c>
      <c r="AH54" s="107" t="e">
        <f t="shared" si="126"/>
        <v>#DIV/0!</v>
      </c>
      <c r="AI54" s="107" t="e">
        <f t="shared" si="126"/>
        <v>#DIV/0!</v>
      </c>
      <c r="AJ54" s="107" t="e">
        <f t="shared" si="126"/>
        <v>#DIV/0!</v>
      </c>
      <c r="AK54" s="258" t="e">
        <f t="shared" si="126"/>
        <v>#DIV/0!</v>
      </c>
      <c r="AL54" s="107" t="e">
        <f t="shared" si="126"/>
        <v>#DIV/0!</v>
      </c>
      <c r="AM54" s="107" t="e">
        <f t="shared" si="126"/>
        <v>#DIV/0!</v>
      </c>
      <c r="AN54" s="107" t="e">
        <f t="shared" si="126"/>
        <v>#DIV/0!</v>
      </c>
      <c r="AO54" s="107" t="e">
        <f t="shared" si="126"/>
        <v>#DIV/0!</v>
      </c>
      <c r="AP54" s="258" t="e">
        <f t="shared" si="126"/>
        <v>#DIV/0!</v>
      </c>
      <c r="AQ54" s="107" t="e">
        <f t="shared" si="126"/>
        <v>#DIV/0!</v>
      </c>
      <c r="AR54" s="107" t="e">
        <f t="shared" si="126"/>
        <v>#DIV/0!</v>
      </c>
      <c r="AS54" s="107" t="e">
        <f t="shared" si="126"/>
        <v>#DIV/0!</v>
      </c>
      <c r="AT54" s="107" t="e">
        <f t="shared" ref="AT54:BB54" si="127">AT53/AO53-1</f>
        <v>#DIV/0!</v>
      </c>
      <c r="AU54" s="258" t="e">
        <f t="shared" si="127"/>
        <v>#DIV/0!</v>
      </c>
      <c r="AV54" s="107" t="e">
        <f t="shared" si="127"/>
        <v>#DIV/0!</v>
      </c>
      <c r="AW54" s="107" t="e">
        <f t="shared" si="127"/>
        <v>#DIV/0!</v>
      </c>
      <c r="AX54" s="107" t="e">
        <f t="shared" si="127"/>
        <v>#DIV/0!</v>
      </c>
      <c r="AY54" s="107" t="e">
        <f t="shared" si="127"/>
        <v>#DIV/0!</v>
      </c>
      <c r="AZ54" s="258" t="e">
        <f t="shared" si="127"/>
        <v>#DIV/0!</v>
      </c>
      <c r="BA54" s="107" t="e">
        <f t="shared" si="127"/>
        <v>#DIV/0!</v>
      </c>
      <c r="BB54" s="107" t="e">
        <f t="shared" si="127"/>
        <v>#DIV/0!</v>
      </c>
      <c r="BC54" s="107" t="e">
        <f t="shared" ref="BC54:BH54" si="128">BC53/AX53-1</f>
        <v>#DIV/0!</v>
      </c>
      <c r="BD54" s="107" t="e">
        <f t="shared" si="128"/>
        <v>#DIV/0!</v>
      </c>
      <c r="BE54" s="258" t="e">
        <f t="shared" si="128"/>
        <v>#DIV/0!</v>
      </c>
      <c r="BF54" s="107" t="e">
        <f t="shared" si="128"/>
        <v>#DIV/0!</v>
      </c>
      <c r="BG54" s="107" t="e">
        <f t="shared" si="128"/>
        <v>#DIV/0!</v>
      </c>
      <c r="BH54" s="107" t="e">
        <f t="shared" si="128"/>
        <v>#DIV/0!</v>
      </c>
      <c r="BI54" s="107" t="e">
        <f>BI53/BD53-1</f>
        <v>#DIV/0!</v>
      </c>
      <c r="BJ54" s="258" t="e">
        <f>BJ53/BE53-1</f>
        <v>#DIV/0!</v>
      </c>
      <c r="BK54" s="107" t="e">
        <f>BK53/BF53-1</f>
        <v>#DIV/0!</v>
      </c>
      <c r="BL54" s="107" t="e">
        <f>BL53/BG53-1</f>
        <v>#DIV/0!</v>
      </c>
      <c r="BM54" s="107" t="e">
        <f>BM53/BH53-1</f>
        <v>#DIV/0!</v>
      </c>
      <c r="BN54" s="395" t="e">
        <f t="shared" si="126"/>
        <v>#DIV/0!</v>
      </c>
      <c r="BO54" s="396" t="e">
        <f t="shared" si="126"/>
        <v>#DIV/0!</v>
      </c>
      <c r="BP54" s="395" t="e">
        <f>BP53/BK53-1</f>
        <v>#DIV/0!</v>
      </c>
      <c r="BQ54" s="395" t="e">
        <f>BQ53/BL53-1</f>
        <v>#DIV/0!</v>
      </c>
      <c r="BR54" s="395" t="e">
        <f>BR53/BM53-1</f>
        <v>#DIV/0!</v>
      </c>
      <c r="BS54" s="395" t="e">
        <f>BS53/BN53-1</f>
        <v>#DIV/0!</v>
      </c>
      <c r="BT54" s="396" t="e">
        <f>BT53/BO53-1</f>
        <v>#DIV/0!</v>
      </c>
    </row>
    <row r="55" spans="1:72" s="190" customFormat="1" ht="13" outlineLevel="1">
      <c r="A55" s="676">
        <f t="shared" si="11"/>
        <v>49</v>
      </c>
      <c r="B55" s="257" t="s">
        <v>187</v>
      </c>
      <c r="E55" s="258" t="e">
        <f t="shared" ref="E55:W55" si="129">E53/E$59</f>
        <v>#DIV/0!</v>
      </c>
      <c r="F55" s="258" t="e">
        <f t="shared" si="129"/>
        <v>#DIV/0!</v>
      </c>
      <c r="G55" s="258" t="e">
        <f t="shared" si="129"/>
        <v>#DIV/0!</v>
      </c>
      <c r="H55" s="107" t="e">
        <f t="shared" si="129"/>
        <v>#DIV/0!</v>
      </c>
      <c r="I55" s="107" t="e">
        <f t="shared" si="129"/>
        <v>#DIV/0!</v>
      </c>
      <c r="J55" s="107" t="e">
        <f t="shared" si="129"/>
        <v>#DIV/0!</v>
      </c>
      <c r="K55" s="107" t="e">
        <f t="shared" si="129"/>
        <v>#DIV/0!</v>
      </c>
      <c r="L55" s="258" t="e">
        <f t="shared" si="129"/>
        <v>#DIV/0!</v>
      </c>
      <c r="M55" s="107" t="e">
        <f t="shared" si="129"/>
        <v>#DIV/0!</v>
      </c>
      <c r="N55" s="107" t="e">
        <f t="shared" si="129"/>
        <v>#DIV/0!</v>
      </c>
      <c r="O55" s="107" t="e">
        <f t="shared" si="129"/>
        <v>#DIV/0!</v>
      </c>
      <c r="P55" s="107" t="e">
        <f t="shared" si="129"/>
        <v>#DIV/0!</v>
      </c>
      <c r="Q55" s="258" t="e">
        <f t="shared" si="129"/>
        <v>#DIV/0!</v>
      </c>
      <c r="R55" s="107" t="e">
        <f t="shared" si="129"/>
        <v>#DIV/0!</v>
      </c>
      <c r="S55" s="107" t="e">
        <f t="shared" si="129"/>
        <v>#DIV/0!</v>
      </c>
      <c r="T55" s="107" t="e">
        <f t="shared" si="129"/>
        <v>#DIV/0!</v>
      </c>
      <c r="U55" s="107" t="e">
        <f t="shared" si="129"/>
        <v>#DIV/0!</v>
      </c>
      <c r="V55" s="258" t="e">
        <f t="shared" si="129"/>
        <v>#DIV/0!</v>
      </c>
      <c r="W55" s="107" t="e">
        <f t="shared" si="129"/>
        <v>#DIV/0!</v>
      </c>
      <c r="X55" s="107" t="e">
        <f t="shared" ref="X55:AD55" si="130">X53/X$59</f>
        <v>#DIV/0!</v>
      </c>
      <c r="Y55" s="107" t="e">
        <f t="shared" si="130"/>
        <v>#DIV/0!</v>
      </c>
      <c r="Z55" s="107" t="e">
        <f t="shared" si="130"/>
        <v>#DIV/0!</v>
      </c>
      <c r="AA55" s="258" t="e">
        <f t="shared" si="130"/>
        <v>#DIV/0!</v>
      </c>
      <c r="AB55" s="107" t="e">
        <f t="shared" si="130"/>
        <v>#DIV/0!</v>
      </c>
      <c r="AC55" s="107" t="e">
        <f t="shared" si="130"/>
        <v>#DIV/0!</v>
      </c>
      <c r="AD55" s="107" t="e">
        <f t="shared" si="130"/>
        <v>#DIV/0!</v>
      </c>
      <c r="AE55" s="107" t="e">
        <f t="shared" ref="AE55:AJ55" si="131">AE53/AE$59</f>
        <v>#DIV/0!</v>
      </c>
      <c r="AF55" s="258" t="e">
        <f t="shared" si="131"/>
        <v>#DIV/0!</v>
      </c>
      <c r="AG55" s="107" t="e">
        <f t="shared" si="131"/>
        <v>#DIV/0!</v>
      </c>
      <c r="AH55" s="107" t="e">
        <f t="shared" si="131"/>
        <v>#DIV/0!</v>
      </c>
      <c r="AI55" s="107" t="e">
        <f t="shared" si="131"/>
        <v>#DIV/0!</v>
      </c>
      <c r="AJ55" s="107" t="e">
        <f t="shared" si="131"/>
        <v>#DIV/0!</v>
      </c>
      <c r="AK55" s="258" t="e">
        <f t="shared" ref="AK55:AP55" si="132">AK53/AK$59</f>
        <v>#DIV/0!</v>
      </c>
      <c r="AL55" s="107" t="e">
        <f t="shared" si="132"/>
        <v>#DIV/0!</v>
      </c>
      <c r="AM55" s="107" t="e">
        <f t="shared" si="132"/>
        <v>#DIV/0!</v>
      </c>
      <c r="AN55" s="107" t="e">
        <f t="shared" si="132"/>
        <v>#DIV/0!</v>
      </c>
      <c r="AO55" s="107" t="e">
        <f t="shared" si="132"/>
        <v>#DIV/0!</v>
      </c>
      <c r="AP55" s="258" t="e">
        <f t="shared" si="132"/>
        <v>#DIV/0!</v>
      </c>
      <c r="AQ55" s="107" t="e">
        <f>AQ53/AQ$59</f>
        <v>#DIV/0!</v>
      </c>
      <c r="AR55" s="107" t="e">
        <f>AR53/AR$59</f>
        <v>#DIV/0!</v>
      </c>
      <c r="AS55" s="107" t="e">
        <f>AS53/AS$59</f>
        <v>#DIV/0!</v>
      </c>
      <c r="AT55" s="107" t="e">
        <f>AT53/AT$59</f>
        <v>#DIV/0!</v>
      </c>
      <c r="AU55" s="258" t="e">
        <f>AU53/AU$59</f>
        <v>#DIV/0!</v>
      </c>
      <c r="AV55" s="107" t="e">
        <f t="shared" ref="AV55:BA55" si="133">AV53/AV$59</f>
        <v>#DIV/0!</v>
      </c>
      <c r="AW55" s="107" t="e">
        <f t="shared" si="133"/>
        <v>#DIV/0!</v>
      </c>
      <c r="AX55" s="107" t="e">
        <f t="shared" si="133"/>
        <v>#DIV/0!</v>
      </c>
      <c r="AY55" s="107" t="e">
        <f t="shared" si="133"/>
        <v>#DIV/0!</v>
      </c>
      <c r="AZ55" s="258" t="e">
        <f t="shared" si="133"/>
        <v>#DIV/0!</v>
      </c>
      <c r="BA55" s="107" t="e">
        <f t="shared" si="133"/>
        <v>#DIV/0!</v>
      </c>
      <c r="BB55" s="107" t="e">
        <f t="shared" ref="BB55:BG55" si="134">BB53/BB$59</f>
        <v>#DIV/0!</v>
      </c>
      <c r="BC55" s="107" t="e">
        <f t="shared" si="134"/>
        <v>#DIV/0!</v>
      </c>
      <c r="BD55" s="107" t="e">
        <f t="shared" si="134"/>
        <v>#DIV/0!</v>
      </c>
      <c r="BE55" s="258" t="e">
        <f t="shared" si="134"/>
        <v>#DIV/0!</v>
      </c>
      <c r="BF55" s="107" t="e">
        <f t="shared" si="134"/>
        <v>#DIV/0!</v>
      </c>
      <c r="BG55" s="107" t="e">
        <f t="shared" si="134"/>
        <v>#DIV/0!</v>
      </c>
      <c r="BH55" s="107" t="e">
        <f t="shared" ref="BH55:BT55" si="135">BH53/BH$59</f>
        <v>#DIV/0!</v>
      </c>
      <c r="BI55" s="107" t="e">
        <f t="shared" si="135"/>
        <v>#DIV/0!</v>
      </c>
      <c r="BJ55" s="258" t="e">
        <f t="shared" si="135"/>
        <v>#DIV/0!</v>
      </c>
      <c r="BK55" s="107" t="e">
        <f t="shared" si="135"/>
        <v>#DIV/0!</v>
      </c>
      <c r="BL55" s="107" t="e">
        <f t="shared" si="135"/>
        <v>#DIV/0!</v>
      </c>
      <c r="BM55" s="107" t="e">
        <f>BM53/BM$59</f>
        <v>#DIV/0!</v>
      </c>
      <c r="BN55" s="395" t="e">
        <f t="shared" si="135"/>
        <v>#DIV/0!</v>
      </c>
      <c r="BO55" s="396" t="e">
        <f t="shared" si="135"/>
        <v>#DIV/0!</v>
      </c>
      <c r="BP55" s="395" t="e">
        <f t="shared" si="135"/>
        <v>#DIV/0!</v>
      </c>
      <c r="BQ55" s="395" t="e">
        <f t="shared" si="135"/>
        <v>#DIV/0!</v>
      </c>
      <c r="BR55" s="395" t="e">
        <f t="shared" si="135"/>
        <v>#DIV/0!</v>
      </c>
      <c r="BS55" s="395" t="e">
        <f t="shared" si="135"/>
        <v>#DIV/0!</v>
      </c>
      <c r="BT55" s="396" t="e">
        <f t="shared" si="135"/>
        <v>#DIV/0!</v>
      </c>
    </row>
    <row r="56" spans="1:72" s="190" customFormat="1" ht="13" outlineLevel="1">
      <c r="A56" s="676">
        <f t="shared" si="11"/>
        <v>50</v>
      </c>
      <c r="B56" s="259" t="s">
        <v>191</v>
      </c>
      <c r="E56" s="260"/>
      <c r="F56" s="260"/>
      <c r="G56" s="260">
        <v>0</v>
      </c>
      <c r="H56" s="210"/>
      <c r="I56" s="210"/>
      <c r="J56" s="210"/>
      <c r="K56" s="210"/>
      <c r="L56" s="260"/>
      <c r="M56" s="210"/>
      <c r="N56" s="210"/>
      <c r="O56" s="210"/>
      <c r="P56" s="210"/>
      <c r="Q56" s="260"/>
      <c r="R56" s="210"/>
      <c r="S56" s="210"/>
      <c r="T56" s="210"/>
      <c r="U56" s="210"/>
      <c r="V56" s="260"/>
      <c r="W56" s="210"/>
      <c r="X56" s="210"/>
      <c r="Y56" s="210"/>
      <c r="Z56" s="210"/>
      <c r="AA56" s="260"/>
      <c r="AB56" s="210"/>
      <c r="AC56" s="210"/>
      <c r="AD56" s="210"/>
      <c r="AE56" s="210"/>
      <c r="AF56" s="260"/>
      <c r="AG56" s="210"/>
      <c r="AH56" s="210"/>
      <c r="AI56" s="210"/>
      <c r="AJ56" s="210"/>
      <c r="AK56" s="260"/>
      <c r="AL56" s="210"/>
      <c r="AM56" s="210"/>
      <c r="AN56" s="210"/>
      <c r="AO56" s="210"/>
      <c r="AP56" s="260"/>
      <c r="AQ56" s="210"/>
      <c r="AR56" s="210"/>
      <c r="AS56" s="210"/>
      <c r="AT56" s="210"/>
      <c r="AU56" s="260"/>
      <c r="AV56" s="210"/>
      <c r="AW56" s="210"/>
      <c r="AX56" s="210"/>
      <c r="AY56" s="210"/>
      <c r="AZ56" s="260"/>
      <c r="BA56" s="210"/>
      <c r="BB56" s="210"/>
      <c r="BC56" s="210"/>
      <c r="BD56" s="210"/>
      <c r="BE56" s="260"/>
      <c r="BF56" s="210"/>
      <c r="BG56" s="210"/>
      <c r="BH56" s="210"/>
      <c r="BI56" s="210"/>
      <c r="BJ56" s="260"/>
      <c r="BK56" s="210"/>
      <c r="BL56" s="210"/>
      <c r="BM56" s="210"/>
      <c r="BN56" s="397"/>
      <c r="BO56" s="398"/>
      <c r="BP56" s="397"/>
      <c r="BQ56" s="397"/>
      <c r="BR56" s="397"/>
      <c r="BS56" s="397"/>
      <c r="BT56" s="398"/>
    </row>
    <row r="57" spans="1:72" s="190" customFormat="1" ht="13" outlineLevel="1">
      <c r="A57" s="676">
        <f t="shared" si="11"/>
        <v>51</v>
      </c>
      <c r="B57" s="257" t="s">
        <v>186</v>
      </c>
      <c r="E57" s="258"/>
      <c r="F57" s="258" t="e">
        <f>F56/E56-1</f>
        <v>#DIV/0!</v>
      </c>
      <c r="G57" s="258" t="e">
        <f>G56/F56-1</f>
        <v>#DIV/0!</v>
      </c>
      <c r="H57" s="107"/>
      <c r="I57" s="107"/>
      <c r="J57" s="107"/>
      <c r="K57" s="107"/>
      <c r="L57" s="258" t="e">
        <f>L56/G56-1</f>
        <v>#DIV/0!</v>
      </c>
      <c r="M57" s="107" t="e">
        <f>M56/H56-1</f>
        <v>#DIV/0!</v>
      </c>
      <c r="N57" s="107" t="e">
        <f>N56/I56-1</f>
        <v>#DIV/0!</v>
      </c>
      <c r="O57" s="107" t="e">
        <f>O56/J56-1</f>
        <v>#DIV/0!</v>
      </c>
      <c r="P57" s="107" t="e">
        <f t="shared" ref="P57:AB57" si="136">P56/K56-1</f>
        <v>#DIV/0!</v>
      </c>
      <c r="Q57" s="258" t="e">
        <f t="shared" si="136"/>
        <v>#DIV/0!</v>
      </c>
      <c r="R57" s="107" t="e">
        <f t="shared" si="136"/>
        <v>#DIV/0!</v>
      </c>
      <c r="S57" s="107" t="e">
        <f t="shared" si="136"/>
        <v>#DIV/0!</v>
      </c>
      <c r="T57" s="107" t="e">
        <f t="shared" si="136"/>
        <v>#DIV/0!</v>
      </c>
      <c r="U57" s="107" t="e">
        <f t="shared" si="136"/>
        <v>#DIV/0!</v>
      </c>
      <c r="V57" s="258" t="e">
        <f t="shared" si="136"/>
        <v>#DIV/0!</v>
      </c>
      <c r="W57" s="107" t="e">
        <f t="shared" si="136"/>
        <v>#DIV/0!</v>
      </c>
      <c r="X57" s="107" t="e">
        <f>X56/S56-1</f>
        <v>#DIV/0!</v>
      </c>
      <c r="Y57" s="107" t="e">
        <f>Y56/T56-1</f>
        <v>#DIV/0!</v>
      </c>
      <c r="Z57" s="107" t="e">
        <f t="shared" si="136"/>
        <v>#DIV/0!</v>
      </c>
      <c r="AA57" s="258" t="e">
        <f t="shared" si="136"/>
        <v>#DIV/0!</v>
      </c>
      <c r="AB57" s="107" t="e">
        <f t="shared" si="136"/>
        <v>#DIV/0!</v>
      </c>
      <c r="AC57" s="107" t="e">
        <f t="shared" ref="AC57:BO57" si="137">AC56/X56-1</f>
        <v>#DIV/0!</v>
      </c>
      <c r="AD57" s="107" t="e">
        <f t="shared" si="137"/>
        <v>#DIV/0!</v>
      </c>
      <c r="AE57" s="107" t="e">
        <f t="shared" si="137"/>
        <v>#DIV/0!</v>
      </c>
      <c r="AF57" s="258" t="e">
        <f t="shared" si="137"/>
        <v>#DIV/0!</v>
      </c>
      <c r="AG57" s="107" t="e">
        <f t="shared" si="137"/>
        <v>#DIV/0!</v>
      </c>
      <c r="AH57" s="107" t="e">
        <f t="shared" si="137"/>
        <v>#DIV/0!</v>
      </c>
      <c r="AI57" s="107" t="e">
        <f t="shared" si="137"/>
        <v>#DIV/0!</v>
      </c>
      <c r="AJ57" s="107" t="e">
        <f t="shared" si="137"/>
        <v>#DIV/0!</v>
      </c>
      <c r="AK57" s="258" t="e">
        <f t="shared" si="137"/>
        <v>#DIV/0!</v>
      </c>
      <c r="AL57" s="107" t="e">
        <f t="shared" si="137"/>
        <v>#DIV/0!</v>
      </c>
      <c r="AM57" s="107" t="e">
        <f t="shared" si="137"/>
        <v>#DIV/0!</v>
      </c>
      <c r="AN57" s="107" t="e">
        <f t="shared" si="137"/>
        <v>#DIV/0!</v>
      </c>
      <c r="AO57" s="107" t="e">
        <f t="shared" si="137"/>
        <v>#DIV/0!</v>
      </c>
      <c r="AP57" s="258" t="e">
        <f t="shared" si="137"/>
        <v>#DIV/0!</v>
      </c>
      <c r="AQ57" s="107" t="e">
        <f t="shared" si="137"/>
        <v>#DIV/0!</v>
      </c>
      <c r="AR57" s="107" t="e">
        <f t="shared" si="137"/>
        <v>#DIV/0!</v>
      </c>
      <c r="AS57" s="107" t="e">
        <f t="shared" si="137"/>
        <v>#DIV/0!</v>
      </c>
      <c r="AT57" s="107" t="e">
        <f t="shared" ref="AT57:BB57" si="138">AT56/AO56-1</f>
        <v>#DIV/0!</v>
      </c>
      <c r="AU57" s="258" t="e">
        <f t="shared" si="138"/>
        <v>#DIV/0!</v>
      </c>
      <c r="AV57" s="107" t="e">
        <f t="shared" si="138"/>
        <v>#DIV/0!</v>
      </c>
      <c r="AW57" s="107" t="e">
        <f t="shared" si="138"/>
        <v>#DIV/0!</v>
      </c>
      <c r="AX57" s="107" t="e">
        <f t="shared" si="138"/>
        <v>#DIV/0!</v>
      </c>
      <c r="AY57" s="107" t="e">
        <f t="shared" si="138"/>
        <v>#DIV/0!</v>
      </c>
      <c r="AZ57" s="258" t="e">
        <f t="shared" si="138"/>
        <v>#DIV/0!</v>
      </c>
      <c r="BA57" s="107" t="e">
        <f t="shared" si="138"/>
        <v>#DIV/0!</v>
      </c>
      <c r="BB57" s="107" t="e">
        <f t="shared" si="138"/>
        <v>#DIV/0!</v>
      </c>
      <c r="BC57" s="107" t="e">
        <f t="shared" ref="BC57:BH57" si="139">BC56/AX56-1</f>
        <v>#DIV/0!</v>
      </c>
      <c r="BD57" s="107" t="e">
        <f t="shared" si="139"/>
        <v>#DIV/0!</v>
      </c>
      <c r="BE57" s="258" t="e">
        <f t="shared" si="139"/>
        <v>#DIV/0!</v>
      </c>
      <c r="BF57" s="107" t="e">
        <f t="shared" si="139"/>
        <v>#DIV/0!</v>
      </c>
      <c r="BG57" s="107" t="e">
        <f t="shared" si="139"/>
        <v>#DIV/0!</v>
      </c>
      <c r="BH57" s="107" t="e">
        <f t="shared" si="139"/>
        <v>#DIV/0!</v>
      </c>
      <c r="BI57" s="107" t="e">
        <f>BI56/BD56-1</f>
        <v>#DIV/0!</v>
      </c>
      <c r="BJ57" s="258" t="e">
        <f>BJ56/BE56-1</f>
        <v>#DIV/0!</v>
      </c>
      <c r="BK57" s="107" t="e">
        <f>BK56/BF56-1</f>
        <v>#DIV/0!</v>
      </c>
      <c r="BL57" s="107" t="e">
        <f>BL56/BG56-1</f>
        <v>#DIV/0!</v>
      </c>
      <c r="BM57" s="107" t="e">
        <f>BM56/BH56-1</f>
        <v>#DIV/0!</v>
      </c>
      <c r="BN57" s="395" t="e">
        <f t="shared" si="137"/>
        <v>#DIV/0!</v>
      </c>
      <c r="BO57" s="396" t="e">
        <f t="shared" si="137"/>
        <v>#DIV/0!</v>
      </c>
      <c r="BP57" s="395" t="e">
        <f>BP56/BK56-1</f>
        <v>#DIV/0!</v>
      </c>
      <c r="BQ57" s="395" t="e">
        <f>BQ56/BL56-1</f>
        <v>#DIV/0!</v>
      </c>
      <c r="BR57" s="395" t="e">
        <f>BR56/BM56-1</f>
        <v>#DIV/0!</v>
      </c>
      <c r="BS57" s="395" t="e">
        <f>BS56/BN56-1</f>
        <v>#DIV/0!</v>
      </c>
      <c r="BT57" s="396" t="e">
        <f>BT56/BO56-1</f>
        <v>#DIV/0!</v>
      </c>
    </row>
    <row r="58" spans="1:72" s="190" customFormat="1" ht="13" outlineLevel="1">
      <c r="A58" s="676">
        <f t="shared" si="11"/>
        <v>52</v>
      </c>
      <c r="B58" s="257" t="s">
        <v>187</v>
      </c>
      <c r="E58" s="262" t="e">
        <f t="shared" ref="E58:W58" si="140">E56/E$59</f>
        <v>#DIV/0!</v>
      </c>
      <c r="F58" s="262" t="e">
        <f t="shared" si="140"/>
        <v>#DIV/0!</v>
      </c>
      <c r="G58" s="262" t="e">
        <f t="shared" si="140"/>
        <v>#DIV/0!</v>
      </c>
      <c r="H58" s="261" t="e">
        <f t="shared" si="140"/>
        <v>#DIV/0!</v>
      </c>
      <c r="I58" s="261" t="e">
        <f t="shared" si="140"/>
        <v>#DIV/0!</v>
      </c>
      <c r="J58" s="261" t="e">
        <f t="shared" si="140"/>
        <v>#DIV/0!</v>
      </c>
      <c r="K58" s="261" t="e">
        <f t="shared" si="140"/>
        <v>#DIV/0!</v>
      </c>
      <c r="L58" s="262" t="e">
        <f t="shared" si="140"/>
        <v>#DIV/0!</v>
      </c>
      <c r="M58" s="261" t="e">
        <f t="shared" si="140"/>
        <v>#DIV/0!</v>
      </c>
      <c r="N58" s="261" t="e">
        <f t="shared" si="140"/>
        <v>#DIV/0!</v>
      </c>
      <c r="O58" s="261" t="e">
        <f t="shared" si="140"/>
        <v>#DIV/0!</v>
      </c>
      <c r="P58" s="261" t="e">
        <f t="shared" si="140"/>
        <v>#DIV/0!</v>
      </c>
      <c r="Q58" s="262" t="e">
        <f t="shared" si="140"/>
        <v>#DIV/0!</v>
      </c>
      <c r="R58" s="261" t="e">
        <f t="shared" si="140"/>
        <v>#DIV/0!</v>
      </c>
      <c r="S58" s="261" t="e">
        <f t="shared" si="140"/>
        <v>#DIV/0!</v>
      </c>
      <c r="T58" s="261" t="e">
        <f t="shared" si="140"/>
        <v>#DIV/0!</v>
      </c>
      <c r="U58" s="261" t="e">
        <f t="shared" si="140"/>
        <v>#DIV/0!</v>
      </c>
      <c r="V58" s="262" t="e">
        <f t="shared" si="140"/>
        <v>#DIV/0!</v>
      </c>
      <c r="W58" s="261" t="e">
        <f t="shared" si="140"/>
        <v>#DIV/0!</v>
      </c>
      <c r="X58" s="261" t="e">
        <f t="shared" ref="X58:AD58" si="141">X56/X$59</f>
        <v>#DIV/0!</v>
      </c>
      <c r="Y58" s="261" t="e">
        <f t="shared" si="141"/>
        <v>#DIV/0!</v>
      </c>
      <c r="Z58" s="261" t="e">
        <f t="shared" si="141"/>
        <v>#DIV/0!</v>
      </c>
      <c r="AA58" s="262" t="e">
        <f t="shared" si="141"/>
        <v>#DIV/0!</v>
      </c>
      <c r="AB58" s="261" t="e">
        <f t="shared" si="141"/>
        <v>#DIV/0!</v>
      </c>
      <c r="AC58" s="261" t="e">
        <f t="shared" si="141"/>
        <v>#DIV/0!</v>
      </c>
      <c r="AD58" s="261" t="e">
        <f t="shared" si="141"/>
        <v>#DIV/0!</v>
      </c>
      <c r="AE58" s="261" t="e">
        <f t="shared" ref="AE58:AJ58" si="142">AE56/AE$59</f>
        <v>#DIV/0!</v>
      </c>
      <c r="AF58" s="262" t="e">
        <f t="shared" si="142"/>
        <v>#DIV/0!</v>
      </c>
      <c r="AG58" s="261" t="e">
        <f t="shared" si="142"/>
        <v>#DIV/0!</v>
      </c>
      <c r="AH58" s="261" t="e">
        <f t="shared" si="142"/>
        <v>#DIV/0!</v>
      </c>
      <c r="AI58" s="261" t="e">
        <f t="shared" si="142"/>
        <v>#DIV/0!</v>
      </c>
      <c r="AJ58" s="261" t="e">
        <f t="shared" si="142"/>
        <v>#DIV/0!</v>
      </c>
      <c r="AK58" s="262" t="e">
        <f t="shared" ref="AK58:AP58" si="143">AK56/AK$59</f>
        <v>#DIV/0!</v>
      </c>
      <c r="AL58" s="261" t="e">
        <f t="shared" si="143"/>
        <v>#DIV/0!</v>
      </c>
      <c r="AM58" s="261" t="e">
        <f t="shared" si="143"/>
        <v>#DIV/0!</v>
      </c>
      <c r="AN58" s="261" t="e">
        <f t="shared" si="143"/>
        <v>#DIV/0!</v>
      </c>
      <c r="AO58" s="261" t="e">
        <f t="shared" si="143"/>
        <v>#DIV/0!</v>
      </c>
      <c r="AP58" s="262" t="e">
        <f t="shared" si="143"/>
        <v>#DIV/0!</v>
      </c>
      <c r="AQ58" s="261" t="e">
        <f>AQ56/AQ$59</f>
        <v>#DIV/0!</v>
      </c>
      <c r="AR58" s="261" t="e">
        <f>AR56/AR$59</f>
        <v>#DIV/0!</v>
      </c>
      <c r="AS58" s="261" t="e">
        <f>AS56/AS$59</f>
        <v>#DIV/0!</v>
      </c>
      <c r="AT58" s="261" t="e">
        <f>AT56/AT$59</f>
        <v>#DIV/0!</v>
      </c>
      <c r="AU58" s="262" t="e">
        <f>AU56/AU$59</f>
        <v>#DIV/0!</v>
      </c>
      <c r="AV58" s="261" t="e">
        <f t="shared" ref="AV58:BA58" si="144">AV56/AV$59</f>
        <v>#DIV/0!</v>
      </c>
      <c r="AW58" s="261" t="e">
        <f t="shared" si="144"/>
        <v>#DIV/0!</v>
      </c>
      <c r="AX58" s="261" t="e">
        <f t="shared" si="144"/>
        <v>#DIV/0!</v>
      </c>
      <c r="AY58" s="261" t="e">
        <f t="shared" si="144"/>
        <v>#DIV/0!</v>
      </c>
      <c r="AZ58" s="262" t="e">
        <f t="shared" si="144"/>
        <v>#DIV/0!</v>
      </c>
      <c r="BA58" s="261" t="e">
        <f t="shared" si="144"/>
        <v>#DIV/0!</v>
      </c>
      <c r="BB58" s="261" t="e">
        <f t="shared" ref="BB58:BG58" si="145">BB56/BB$59</f>
        <v>#DIV/0!</v>
      </c>
      <c r="BC58" s="261" t="e">
        <f t="shared" si="145"/>
        <v>#DIV/0!</v>
      </c>
      <c r="BD58" s="261" t="e">
        <f t="shared" si="145"/>
        <v>#DIV/0!</v>
      </c>
      <c r="BE58" s="262" t="e">
        <f t="shared" si="145"/>
        <v>#DIV/0!</v>
      </c>
      <c r="BF58" s="261" t="e">
        <f t="shared" si="145"/>
        <v>#DIV/0!</v>
      </c>
      <c r="BG58" s="261" t="e">
        <f t="shared" si="145"/>
        <v>#DIV/0!</v>
      </c>
      <c r="BH58" s="261" t="e">
        <f t="shared" ref="BH58:BT58" si="146">BH56/BH$59</f>
        <v>#DIV/0!</v>
      </c>
      <c r="BI58" s="261" t="e">
        <f t="shared" si="146"/>
        <v>#DIV/0!</v>
      </c>
      <c r="BJ58" s="262" t="e">
        <f t="shared" si="146"/>
        <v>#DIV/0!</v>
      </c>
      <c r="BK58" s="261" t="e">
        <f t="shared" si="146"/>
        <v>#DIV/0!</v>
      </c>
      <c r="BL58" s="261" t="e">
        <f t="shared" si="146"/>
        <v>#DIV/0!</v>
      </c>
      <c r="BM58" s="261" t="e">
        <f>BM56/BM$59</f>
        <v>#DIV/0!</v>
      </c>
      <c r="BN58" s="399" t="e">
        <f t="shared" si="146"/>
        <v>#DIV/0!</v>
      </c>
      <c r="BO58" s="400" t="e">
        <f t="shared" si="146"/>
        <v>#DIV/0!</v>
      </c>
      <c r="BP58" s="399" t="e">
        <f t="shared" si="146"/>
        <v>#DIV/0!</v>
      </c>
      <c r="BQ58" s="399" t="e">
        <f t="shared" si="146"/>
        <v>#DIV/0!</v>
      </c>
      <c r="BR58" s="399" t="e">
        <f t="shared" si="146"/>
        <v>#DIV/0!</v>
      </c>
      <c r="BS58" s="399" t="e">
        <f t="shared" si="146"/>
        <v>#DIV/0!</v>
      </c>
      <c r="BT58" s="400" t="e">
        <f t="shared" si="146"/>
        <v>#DIV/0!</v>
      </c>
    </row>
    <row r="59" spans="1:72" s="188" customFormat="1" ht="13">
      <c r="A59" s="676">
        <f t="shared" si="11"/>
        <v>53</v>
      </c>
      <c r="B59" s="263" t="s">
        <v>192</v>
      </c>
      <c r="D59" s="264"/>
      <c r="E59" s="239"/>
      <c r="F59" s="239"/>
      <c r="G59" s="239"/>
      <c r="H59" s="44"/>
      <c r="I59" s="44"/>
      <c r="J59" s="44"/>
      <c r="K59" s="44"/>
      <c r="L59" s="239"/>
      <c r="M59" s="44"/>
      <c r="N59" s="44"/>
      <c r="O59" s="44"/>
      <c r="P59" s="44"/>
      <c r="Q59" s="239"/>
      <c r="R59" s="44"/>
      <c r="S59" s="44"/>
      <c r="T59" s="44"/>
      <c r="U59" s="44"/>
      <c r="V59" s="239"/>
      <c r="W59" s="44"/>
      <c r="X59" s="44"/>
      <c r="Y59" s="44"/>
      <c r="Z59" s="44"/>
      <c r="AA59" s="239"/>
      <c r="AB59" s="44"/>
      <c r="AC59" s="44"/>
      <c r="AD59" s="44"/>
      <c r="AE59" s="44"/>
      <c r="AF59" s="239">
        <f>SUM(AB59:AE59)</f>
        <v>0</v>
      </c>
      <c r="AG59" s="44"/>
      <c r="AH59" s="44"/>
      <c r="AI59" s="44"/>
      <c r="AJ59" s="44"/>
      <c r="AK59" s="239">
        <f>SUM(AG59:AJ59)</f>
        <v>0</v>
      </c>
      <c r="AL59" s="44"/>
      <c r="AM59" s="44"/>
      <c r="AN59" s="44"/>
      <c r="AO59" s="44"/>
      <c r="AP59" s="239">
        <f>SUM(AL59:AO59)</f>
        <v>0</v>
      </c>
      <c r="AQ59" s="44"/>
      <c r="AR59" s="44"/>
      <c r="AS59" s="44"/>
      <c r="AT59" s="44"/>
      <c r="AU59" s="239">
        <f>SUM(AQ59:AT59)</f>
        <v>0</v>
      </c>
      <c r="AV59" s="44"/>
      <c r="AW59" s="44"/>
      <c r="AX59" s="44"/>
      <c r="AY59" s="44"/>
      <c r="AZ59" s="239">
        <f>SUM(AV59:AY59)</f>
        <v>0</v>
      </c>
      <c r="BA59" s="44"/>
      <c r="BB59" s="44"/>
      <c r="BC59" s="44"/>
      <c r="BD59" s="44"/>
      <c r="BE59" s="239">
        <f>SUM(BA59:BD59)</f>
        <v>0</v>
      </c>
      <c r="BF59" s="44"/>
      <c r="BG59" s="44"/>
      <c r="BH59" s="44"/>
      <c r="BI59" s="44"/>
      <c r="BJ59" s="239">
        <f>SUM(BF59:BI59)</f>
        <v>0</v>
      </c>
      <c r="BK59" s="44"/>
      <c r="BL59" s="44"/>
      <c r="BM59" s="44"/>
      <c r="BN59" s="371">
        <f>BI59*(1+BN60)</f>
        <v>0</v>
      </c>
      <c r="BO59" s="372">
        <f>SUM(BK59:BN59)</f>
        <v>0</v>
      </c>
      <c r="BP59" s="371">
        <f>BK59*(1+BP60)</f>
        <v>0</v>
      </c>
      <c r="BQ59" s="371">
        <f>BL59*(1+BQ60)</f>
        <v>0</v>
      </c>
      <c r="BR59" s="371">
        <f>BM59*(1+BR60)</f>
        <v>0</v>
      </c>
      <c r="BS59" s="371">
        <f>BN59*(1+BS60)</f>
        <v>0</v>
      </c>
      <c r="BT59" s="372">
        <f>SUM(BP59:BS59)</f>
        <v>0</v>
      </c>
    </row>
    <row r="60" spans="1:72" s="190" customFormat="1" ht="13">
      <c r="A60" s="676">
        <f t="shared" si="11"/>
        <v>54</v>
      </c>
      <c r="B60" s="265" t="s">
        <v>193</v>
      </c>
      <c r="D60" s="266"/>
      <c r="E60" s="186"/>
      <c r="F60" s="186" t="e">
        <f>F59/E59-1</f>
        <v>#DIV/0!</v>
      </c>
      <c r="G60" s="186" t="e">
        <f>G59/F59-1</f>
        <v>#DIV/0!</v>
      </c>
      <c r="H60" s="32"/>
      <c r="I60" s="32"/>
      <c r="J60" s="32"/>
      <c r="K60" s="32"/>
      <c r="L60" s="186" t="e">
        <f t="shared" ref="L60:T60" si="147">L59/G59-1</f>
        <v>#DIV/0!</v>
      </c>
      <c r="M60" s="32" t="e">
        <f t="shared" si="147"/>
        <v>#DIV/0!</v>
      </c>
      <c r="N60" s="32" t="e">
        <f t="shared" si="147"/>
        <v>#DIV/0!</v>
      </c>
      <c r="O60" s="32" t="e">
        <f t="shared" si="147"/>
        <v>#DIV/0!</v>
      </c>
      <c r="P60" s="32" t="e">
        <f t="shared" si="147"/>
        <v>#DIV/0!</v>
      </c>
      <c r="Q60" s="186" t="e">
        <f t="shared" si="147"/>
        <v>#DIV/0!</v>
      </c>
      <c r="R60" s="32" t="e">
        <f t="shared" si="147"/>
        <v>#DIV/0!</v>
      </c>
      <c r="S60" s="32" t="e">
        <f t="shared" si="147"/>
        <v>#DIV/0!</v>
      </c>
      <c r="T60" s="32" t="e">
        <f t="shared" si="147"/>
        <v>#DIV/0!</v>
      </c>
      <c r="U60" s="32" t="e">
        <f>U59/P59-1</f>
        <v>#DIV/0!</v>
      </c>
      <c r="V60" s="186" t="e">
        <f>(V59-Q59)/Q59</f>
        <v>#DIV/0!</v>
      </c>
      <c r="W60" s="32" t="e">
        <f>W59/R59-1</f>
        <v>#DIV/0!</v>
      </c>
      <c r="X60" s="32" t="e">
        <f>X59/S59-1</f>
        <v>#DIV/0!</v>
      </c>
      <c r="Y60" s="32" t="e">
        <f>Y59/T59-1</f>
        <v>#DIV/0!</v>
      </c>
      <c r="Z60" s="32" t="e">
        <f>Z59/U59-1</f>
        <v>#DIV/0!</v>
      </c>
      <c r="AA60" s="186" t="e">
        <f>(AA59-V59)/V59</f>
        <v>#DIV/0!</v>
      </c>
      <c r="AB60" s="32" t="e">
        <f>AB59/W59-1</f>
        <v>#DIV/0!</v>
      </c>
      <c r="AC60" s="32" t="e">
        <f>AC59/X59-1</f>
        <v>#DIV/0!</v>
      </c>
      <c r="AD60" s="32" t="e">
        <f>AD59/Y59-1</f>
        <v>#DIV/0!</v>
      </c>
      <c r="AE60" s="32" t="e">
        <f>AE59/Z59-1</f>
        <v>#DIV/0!</v>
      </c>
      <c r="AF60" s="186" t="e">
        <f>(AF59-AA59)/AA59</f>
        <v>#DIV/0!</v>
      </c>
      <c r="AG60" s="32" t="e">
        <f>AG59/AB59-1</f>
        <v>#DIV/0!</v>
      </c>
      <c r="AH60" s="32" t="e">
        <f>AH59/AC59-1</f>
        <v>#DIV/0!</v>
      </c>
      <c r="AI60" s="32" t="e">
        <f>AI59/AD59-1</f>
        <v>#DIV/0!</v>
      </c>
      <c r="AJ60" s="32" t="e">
        <f>AJ59/AE59-1</f>
        <v>#DIV/0!</v>
      </c>
      <c r="AK60" s="186" t="e">
        <f>(AK59-AF59)/AF59</f>
        <v>#DIV/0!</v>
      </c>
      <c r="AL60" s="32" t="e">
        <f>AL59/AG59-1</f>
        <v>#DIV/0!</v>
      </c>
      <c r="AM60" s="32" t="e">
        <f>AM59/AH59-1</f>
        <v>#DIV/0!</v>
      </c>
      <c r="AN60" s="32" t="e">
        <f>AN59/AI59-1</f>
        <v>#DIV/0!</v>
      </c>
      <c r="AO60" s="32" t="e">
        <f>AO59/AJ59-1</f>
        <v>#DIV/0!</v>
      </c>
      <c r="AP60" s="186" t="e">
        <f>(AP59-AK59)/AK59</f>
        <v>#DIV/0!</v>
      </c>
      <c r="AQ60" s="32" t="e">
        <f>AQ59/AL59-1</f>
        <v>#DIV/0!</v>
      </c>
      <c r="AR60" s="32" t="e">
        <f>AR59/AM59-1</f>
        <v>#DIV/0!</v>
      </c>
      <c r="AS60" s="32" t="e">
        <f>AS59/AN59-1</f>
        <v>#DIV/0!</v>
      </c>
      <c r="AT60" s="32" t="e">
        <f>AT59/AO59-1</f>
        <v>#DIV/0!</v>
      </c>
      <c r="AU60" s="186" t="e">
        <f>(AU59-AP59)/AP59</f>
        <v>#DIV/0!</v>
      </c>
      <c r="AV60" s="32" t="e">
        <f>AV59/AQ59-1</f>
        <v>#DIV/0!</v>
      </c>
      <c r="AW60" s="32" t="e">
        <f>AW59/AR59-1</f>
        <v>#DIV/0!</v>
      </c>
      <c r="AX60" s="32" t="e">
        <f>AX59/AS59-1</f>
        <v>#DIV/0!</v>
      </c>
      <c r="AY60" s="32" t="e">
        <f>AY59/AT59-1</f>
        <v>#DIV/0!</v>
      </c>
      <c r="AZ60" s="186" t="e">
        <f>(AZ59-AU59)/AU59</f>
        <v>#DIV/0!</v>
      </c>
      <c r="BA60" s="32" t="e">
        <f>BA59/AV59-1</f>
        <v>#DIV/0!</v>
      </c>
      <c r="BB60" s="32" t="e">
        <f>BB59/AW59-1</f>
        <v>#DIV/0!</v>
      </c>
      <c r="BC60" s="32" t="e">
        <f>BC59/AX59-1</f>
        <v>#DIV/0!</v>
      </c>
      <c r="BD60" s="32" t="e">
        <f>BD59/AY59-1</f>
        <v>#DIV/0!</v>
      </c>
      <c r="BE60" s="186" t="e">
        <f>(BE59-AZ59)/AZ59</f>
        <v>#DIV/0!</v>
      </c>
      <c r="BF60" s="32" t="e">
        <f>BF59/BA59-1</f>
        <v>#DIV/0!</v>
      </c>
      <c r="BG60" s="32" t="e">
        <f>BG59/BB59-1</f>
        <v>#DIV/0!</v>
      </c>
      <c r="BH60" s="32" t="e">
        <f>BH59/BC59-1</f>
        <v>#DIV/0!</v>
      </c>
      <c r="BI60" s="32" t="e">
        <f>BI59/BD59-1</f>
        <v>#DIV/0!</v>
      </c>
      <c r="BJ60" s="186" t="e">
        <f>(BJ59-BE59)/BE59</f>
        <v>#DIV/0!</v>
      </c>
      <c r="BK60" s="32" t="e">
        <f>BK59/BF59-1</f>
        <v>#DIV/0!</v>
      </c>
      <c r="BL60" s="32" t="e">
        <f>BL59/BG59-1</f>
        <v>#DIV/0!</v>
      </c>
      <c r="BM60" s="32" t="e">
        <f>BM59/BH59-1</f>
        <v>#DIV/0!</v>
      </c>
      <c r="BN60" s="364">
        <v>0</v>
      </c>
      <c r="BO60" s="365" t="e">
        <f>(BO59-BJ59)/BJ59</f>
        <v>#DIV/0!</v>
      </c>
      <c r="BP60" s="364">
        <v>0</v>
      </c>
      <c r="BQ60" s="364">
        <v>0</v>
      </c>
      <c r="BR60" s="364">
        <v>0</v>
      </c>
      <c r="BS60" s="364">
        <v>0</v>
      </c>
      <c r="BT60" s="365" t="e">
        <f>(BT59-BO59)/BO59</f>
        <v>#DIV/0!</v>
      </c>
    </row>
    <row r="61" spans="1:72" s="182" customFormat="1" ht="13">
      <c r="A61" s="676">
        <f t="shared" si="11"/>
        <v>55</v>
      </c>
      <c r="E61" s="268"/>
      <c r="F61" s="268"/>
      <c r="G61" s="268"/>
      <c r="H61" s="267"/>
      <c r="I61" s="267"/>
      <c r="J61" s="267"/>
      <c r="K61" s="267"/>
      <c r="L61" s="268"/>
      <c r="M61" s="267"/>
      <c r="N61" s="267"/>
      <c r="O61" s="267"/>
      <c r="P61" s="267"/>
      <c r="Q61" s="268"/>
      <c r="R61" s="267"/>
      <c r="S61" s="267"/>
      <c r="T61" s="267"/>
      <c r="U61" s="267"/>
      <c r="V61" s="268"/>
      <c r="W61" s="267"/>
      <c r="X61" s="267"/>
      <c r="Y61" s="267"/>
      <c r="Z61" s="267"/>
      <c r="AA61" s="268"/>
      <c r="AB61" s="267"/>
      <c r="AC61" s="267"/>
      <c r="AD61" s="267"/>
      <c r="AE61" s="267"/>
      <c r="AF61" s="268"/>
      <c r="AG61" s="267"/>
      <c r="AH61" s="267"/>
      <c r="AI61" s="267"/>
      <c r="AJ61" s="267"/>
      <c r="AK61" s="268"/>
      <c r="AL61" s="267"/>
      <c r="AM61" s="267"/>
      <c r="AN61" s="267"/>
      <c r="AO61" s="267"/>
      <c r="AP61" s="268"/>
      <c r="AQ61" s="267"/>
      <c r="AR61" s="267"/>
      <c r="AS61" s="267"/>
      <c r="AT61" s="267"/>
      <c r="AU61" s="268"/>
      <c r="AV61" s="267"/>
      <c r="AW61" s="267"/>
      <c r="AX61" s="267"/>
      <c r="AY61" s="267"/>
      <c r="AZ61" s="268"/>
      <c r="BA61" s="267"/>
      <c r="BB61" s="267"/>
      <c r="BC61" s="267"/>
      <c r="BD61" s="267"/>
      <c r="BE61" s="268"/>
      <c r="BF61" s="267"/>
      <c r="BG61" s="267"/>
      <c r="BH61" s="267"/>
      <c r="BI61" s="267"/>
      <c r="BJ61" s="268"/>
      <c r="BK61" s="267"/>
      <c r="BL61" s="267"/>
      <c r="BM61" s="267"/>
      <c r="BN61" s="401"/>
      <c r="BO61" s="402"/>
      <c r="BP61" s="401"/>
      <c r="BQ61" s="401"/>
      <c r="BR61" s="401"/>
      <c r="BS61" s="401"/>
      <c r="BT61" s="402"/>
    </row>
    <row r="62" spans="1:72" s="182" customFormat="1" ht="13">
      <c r="A62" s="676">
        <f t="shared" si="11"/>
        <v>56</v>
      </c>
      <c r="B62" s="185" t="s">
        <v>137</v>
      </c>
      <c r="D62" s="187"/>
      <c r="E62" s="268"/>
      <c r="F62" s="268"/>
      <c r="G62" s="268"/>
      <c r="H62" s="267"/>
      <c r="I62" s="267"/>
      <c r="J62" s="267"/>
      <c r="K62" s="267"/>
      <c r="L62" s="268"/>
      <c r="M62" s="267"/>
      <c r="N62" s="267"/>
      <c r="O62" s="267"/>
      <c r="P62" s="267"/>
      <c r="Q62" s="268"/>
      <c r="R62" s="267"/>
      <c r="S62" s="267"/>
      <c r="T62" s="267"/>
      <c r="U62" s="267"/>
      <c r="V62" s="268"/>
      <c r="W62" s="267"/>
      <c r="X62" s="267"/>
      <c r="Y62" s="267"/>
      <c r="Z62" s="267"/>
      <c r="AA62" s="268"/>
      <c r="AB62" s="267"/>
      <c r="AC62" s="267"/>
      <c r="AD62" s="267"/>
      <c r="AE62" s="267"/>
      <c r="AF62" s="268"/>
      <c r="AG62" s="267"/>
      <c r="AH62" s="267"/>
      <c r="AI62" s="267"/>
      <c r="AJ62" s="267"/>
      <c r="AK62" s="268"/>
      <c r="AL62" s="267"/>
      <c r="AM62" s="267"/>
      <c r="AN62" s="267"/>
      <c r="AO62" s="267"/>
      <c r="AP62" s="268"/>
      <c r="AQ62" s="267"/>
      <c r="AR62" s="267"/>
      <c r="AS62" s="267"/>
      <c r="AT62" s="267"/>
      <c r="AU62" s="268"/>
      <c r="AV62" s="267"/>
      <c r="AW62" s="267"/>
      <c r="AX62" s="267"/>
      <c r="AY62" s="267"/>
      <c r="AZ62" s="268"/>
      <c r="BA62" s="267"/>
      <c r="BB62" s="267"/>
      <c r="BC62" s="267"/>
      <c r="BD62" s="267"/>
      <c r="BE62" s="268"/>
      <c r="BF62" s="267"/>
      <c r="BG62" s="267"/>
      <c r="BH62" s="267"/>
      <c r="BI62" s="267"/>
      <c r="BJ62" s="268"/>
      <c r="BK62" s="267"/>
      <c r="BL62" s="267"/>
      <c r="BM62" s="267"/>
      <c r="BN62" s="401"/>
      <c r="BO62" s="402"/>
      <c r="BP62" s="401"/>
      <c r="BQ62" s="401"/>
      <c r="BR62" s="401"/>
      <c r="BS62" s="401"/>
      <c r="BT62" s="402"/>
    </row>
    <row r="63" spans="1:72" s="182" customFormat="1" ht="13">
      <c r="A63" s="676">
        <f t="shared" si="11"/>
        <v>57</v>
      </c>
      <c r="E63" s="238"/>
      <c r="F63" s="238"/>
      <c r="G63" s="238"/>
      <c r="H63" s="240"/>
      <c r="I63" s="240"/>
      <c r="J63" s="240"/>
      <c r="K63" s="269"/>
      <c r="L63" s="238"/>
      <c r="M63" s="240"/>
      <c r="N63" s="240"/>
      <c r="O63" s="240"/>
      <c r="P63" s="269"/>
      <c r="Q63" s="238"/>
      <c r="R63" s="240"/>
      <c r="S63" s="240"/>
      <c r="T63" s="240"/>
      <c r="U63" s="269"/>
      <c r="V63" s="238"/>
      <c r="W63" s="240"/>
      <c r="X63" s="240"/>
      <c r="Y63" s="240"/>
      <c r="Z63" s="269"/>
      <c r="AA63" s="238"/>
      <c r="AB63" s="240"/>
      <c r="AC63" s="240"/>
      <c r="AD63" s="240"/>
      <c r="AE63" s="269"/>
      <c r="AF63" s="238"/>
      <c r="AG63" s="240"/>
      <c r="AH63" s="240"/>
      <c r="AI63" s="240"/>
      <c r="AJ63" s="269"/>
      <c r="AK63" s="238"/>
      <c r="AL63" s="240"/>
      <c r="AM63" s="240"/>
      <c r="AN63" s="240"/>
      <c r="AO63" s="269"/>
      <c r="AP63" s="238"/>
      <c r="AQ63" s="240"/>
      <c r="AR63" s="240"/>
      <c r="AS63" s="240"/>
      <c r="AT63" s="269"/>
      <c r="AU63" s="238"/>
      <c r="AV63" s="240"/>
      <c r="AW63" s="240"/>
      <c r="AX63" s="240"/>
      <c r="AY63" s="269"/>
      <c r="AZ63" s="238"/>
      <c r="BA63" s="240"/>
      <c r="BB63" s="240"/>
      <c r="BC63" s="240"/>
      <c r="BD63" s="269"/>
      <c r="BE63" s="238"/>
      <c r="BF63" s="240"/>
      <c r="BG63" s="240"/>
      <c r="BH63" s="240"/>
      <c r="BI63" s="269"/>
      <c r="BJ63" s="238"/>
      <c r="BK63" s="240"/>
      <c r="BL63" s="240"/>
      <c r="BM63" s="240"/>
      <c r="BN63" s="403"/>
      <c r="BO63" s="370"/>
      <c r="BP63" s="373"/>
      <c r="BQ63" s="373"/>
      <c r="BR63" s="373"/>
      <c r="BS63" s="403"/>
      <c r="BT63" s="370"/>
    </row>
    <row r="64" spans="1:72" s="211" customFormat="1" ht="13">
      <c r="A64" s="676">
        <f t="shared" si="11"/>
        <v>58</v>
      </c>
      <c r="B64" s="214" t="s">
        <v>194</v>
      </c>
      <c r="E64" s="270"/>
      <c r="F64" s="270"/>
      <c r="G64" s="270"/>
      <c r="H64" s="43"/>
      <c r="I64" s="43"/>
      <c r="J64" s="43"/>
      <c r="K64" s="43"/>
      <c r="L64" s="270"/>
      <c r="M64" s="43"/>
      <c r="N64" s="43"/>
      <c r="O64" s="43"/>
      <c r="P64" s="43"/>
      <c r="Q64" s="270"/>
      <c r="R64" s="43"/>
      <c r="S64" s="43"/>
      <c r="T64" s="43"/>
      <c r="U64" s="43"/>
      <c r="V64" s="270"/>
      <c r="W64" s="43"/>
      <c r="X64" s="43"/>
      <c r="Y64" s="43"/>
      <c r="Z64" s="43"/>
      <c r="AA64" s="270"/>
      <c r="AB64" s="43"/>
      <c r="AC64" s="43"/>
      <c r="AD64" s="43"/>
      <c r="AE64" s="43"/>
      <c r="AF64" s="270">
        <f>SUM(AB64:AE64)</f>
        <v>0</v>
      </c>
      <c r="AG64" s="43"/>
      <c r="AH64" s="43"/>
      <c r="AI64" s="43"/>
      <c r="AJ64" s="43"/>
      <c r="AK64" s="270">
        <f>SUM(AG64:AJ64)</f>
        <v>0</v>
      </c>
      <c r="AL64" s="43"/>
      <c r="AM64" s="43"/>
      <c r="AN64" s="43"/>
      <c r="AO64" s="43"/>
      <c r="AP64" s="270">
        <f>SUM(AL64:AO64)</f>
        <v>0</v>
      </c>
      <c r="AQ64" s="43"/>
      <c r="AR64" s="43"/>
      <c r="AS64" s="43"/>
      <c r="AT64" s="43"/>
      <c r="AU64" s="270">
        <f>SUM(AQ64:AT64)</f>
        <v>0</v>
      </c>
      <c r="AV64" s="43"/>
      <c r="AW64" s="43"/>
      <c r="AX64" s="43"/>
      <c r="AY64" s="43"/>
      <c r="AZ64" s="270">
        <f>SUM(AV64:AY64)</f>
        <v>0</v>
      </c>
      <c r="BA64" s="43"/>
      <c r="BB64" s="43"/>
      <c r="BC64" s="43"/>
      <c r="BD64" s="43"/>
      <c r="BE64" s="270">
        <f>SUM(BA64:BD64)</f>
        <v>0</v>
      </c>
      <c r="BF64" s="43"/>
      <c r="BG64" s="43"/>
      <c r="BH64" s="43"/>
      <c r="BI64" s="43"/>
      <c r="BJ64" s="270">
        <f>SUM(BF64:BI64)</f>
        <v>0</v>
      </c>
      <c r="BK64" s="43"/>
      <c r="BL64" s="43"/>
      <c r="BM64" s="43"/>
      <c r="BN64" s="404">
        <f>BN59-BN67</f>
        <v>0</v>
      </c>
      <c r="BO64" s="405">
        <f>SUM(BK64:BN64)</f>
        <v>0</v>
      </c>
      <c r="BP64" s="404">
        <f>BP59-BP67</f>
        <v>0</v>
      </c>
      <c r="BQ64" s="404">
        <f>BQ59-BQ67</f>
        <v>0</v>
      </c>
      <c r="BR64" s="404">
        <f>BR59-BR67</f>
        <v>0</v>
      </c>
      <c r="BS64" s="404">
        <f>BS59-BS67</f>
        <v>0</v>
      </c>
      <c r="BT64" s="405">
        <f>SUM(BP64:BS64)</f>
        <v>0</v>
      </c>
    </row>
    <row r="65" spans="1:72" s="182" customFormat="1" ht="13">
      <c r="A65" s="676">
        <f t="shared" si="11"/>
        <v>59</v>
      </c>
      <c r="B65" s="27" t="s">
        <v>195</v>
      </c>
      <c r="D65" s="190"/>
      <c r="E65" s="237">
        <f t="shared" ref="E65:AB65" si="148">SUM(E64)</f>
        <v>0</v>
      </c>
      <c r="F65" s="237">
        <f t="shared" si="148"/>
        <v>0</v>
      </c>
      <c r="G65" s="237">
        <f t="shared" si="148"/>
        <v>0</v>
      </c>
      <c r="H65" s="40">
        <f t="shared" si="148"/>
        <v>0</v>
      </c>
      <c r="I65" s="40">
        <f t="shared" si="148"/>
        <v>0</v>
      </c>
      <c r="J65" s="40">
        <f t="shared" si="148"/>
        <v>0</v>
      </c>
      <c r="K65" s="271">
        <f t="shared" si="148"/>
        <v>0</v>
      </c>
      <c r="L65" s="237">
        <f t="shared" si="148"/>
        <v>0</v>
      </c>
      <c r="M65" s="40">
        <f>SUM(M64)</f>
        <v>0</v>
      </c>
      <c r="N65" s="40">
        <f t="shared" si="148"/>
        <v>0</v>
      </c>
      <c r="O65" s="40">
        <f>SUM(O64)</f>
        <v>0</v>
      </c>
      <c r="P65" s="271">
        <f t="shared" si="148"/>
        <v>0</v>
      </c>
      <c r="Q65" s="237">
        <f t="shared" si="148"/>
        <v>0</v>
      </c>
      <c r="R65" s="271">
        <f t="shared" si="148"/>
        <v>0</v>
      </c>
      <c r="S65" s="271">
        <f t="shared" si="148"/>
        <v>0</v>
      </c>
      <c r="T65" s="271">
        <f t="shared" si="148"/>
        <v>0</v>
      </c>
      <c r="U65" s="271">
        <f t="shared" si="148"/>
        <v>0</v>
      </c>
      <c r="V65" s="237">
        <f t="shared" si="148"/>
        <v>0</v>
      </c>
      <c r="W65" s="271">
        <f t="shared" si="148"/>
        <v>0</v>
      </c>
      <c r="X65" s="271">
        <f>SUM(X64)</f>
        <v>0</v>
      </c>
      <c r="Y65" s="271">
        <f>SUM(Y64)</f>
        <v>0</v>
      </c>
      <c r="Z65" s="271">
        <f t="shared" si="148"/>
        <v>0</v>
      </c>
      <c r="AA65" s="237">
        <f t="shared" si="148"/>
        <v>0</v>
      </c>
      <c r="AB65" s="271">
        <f t="shared" si="148"/>
        <v>0</v>
      </c>
      <c r="AC65" s="271">
        <f t="shared" ref="AC65:AQ65" si="149">SUM(AC64)</f>
        <v>0</v>
      </c>
      <c r="AD65" s="271">
        <f t="shared" si="149"/>
        <v>0</v>
      </c>
      <c r="AE65" s="271">
        <f t="shared" si="149"/>
        <v>0</v>
      </c>
      <c r="AF65" s="237">
        <f t="shared" si="149"/>
        <v>0</v>
      </c>
      <c r="AG65" s="271">
        <f t="shared" si="149"/>
        <v>0</v>
      </c>
      <c r="AH65" s="271">
        <f t="shared" si="149"/>
        <v>0</v>
      </c>
      <c r="AI65" s="271">
        <f t="shared" si="149"/>
        <v>0</v>
      </c>
      <c r="AJ65" s="271">
        <f t="shared" si="149"/>
        <v>0</v>
      </c>
      <c r="AK65" s="237">
        <f t="shared" si="149"/>
        <v>0</v>
      </c>
      <c r="AL65" s="271">
        <f t="shared" si="149"/>
        <v>0</v>
      </c>
      <c r="AM65" s="271">
        <f t="shared" si="149"/>
        <v>0</v>
      </c>
      <c r="AN65" s="271">
        <f t="shared" si="149"/>
        <v>0</v>
      </c>
      <c r="AO65" s="271">
        <f t="shared" si="149"/>
        <v>0</v>
      </c>
      <c r="AP65" s="237">
        <f t="shared" si="149"/>
        <v>0</v>
      </c>
      <c r="AQ65" s="271">
        <f t="shared" si="149"/>
        <v>0</v>
      </c>
      <c r="AR65" s="271">
        <f t="shared" ref="AR65:AW65" si="150">SUM(AR64)</f>
        <v>0</v>
      </c>
      <c r="AS65" s="271">
        <f t="shared" si="150"/>
        <v>0</v>
      </c>
      <c r="AT65" s="271">
        <f t="shared" si="150"/>
        <v>0</v>
      </c>
      <c r="AU65" s="237">
        <f t="shared" si="150"/>
        <v>0</v>
      </c>
      <c r="AV65" s="271">
        <f t="shared" si="150"/>
        <v>0</v>
      </c>
      <c r="AW65" s="271">
        <f t="shared" si="150"/>
        <v>0</v>
      </c>
      <c r="AX65" s="271">
        <f t="shared" ref="AX65:BG65" si="151">SUM(AX64)</f>
        <v>0</v>
      </c>
      <c r="AY65" s="271">
        <f t="shared" si="151"/>
        <v>0</v>
      </c>
      <c r="AZ65" s="237">
        <f t="shared" si="151"/>
        <v>0</v>
      </c>
      <c r="BA65" s="271">
        <f t="shared" si="151"/>
        <v>0</v>
      </c>
      <c r="BB65" s="271">
        <f t="shared" si="151"/>
        <v>0</v>
      </c>
      <c r="BC65" s="271">
        <f t="shared" si="151"/>
        <v>0</v>
      </c>
      <c r="BD65" s="271">
        <f t="shared" si="151"/>
        <v>0</v>
      </c>
      <c r="BE65" s="237">
        <f t="shared" si="151"/>
        <v>0</v>
      </c>
      <c r="BF65" s="271">
        <f t="shared" si="151"/>
        <v>0</v>
      </c>
      <c r="BG65" s="271">
        <f t="shared" si="151"/>
        <v>0</v>
      </c>
      <c r="BH65" s="271">
        <f t="shared" ref="BH65:BT65" si="152">SUM(BH64)</f>
        <v>0</v>
      </c>
      <c r="BI65" s="271">
        <f t="shared" si="152"/>
        <v>0</v>
      </c>
      <c r="BJ65" s="237">
        <f t="shared" si="152"/>
        <v>0</v>
      </c>
      <c r="BK65" s="271">
        <f t="shared" si="152"/>
        <v>0</v>
      </c>
      <c r="BL65" s="271">
        <f t="shared" si="152"/>
        <v>0</v>
      </c>
      <c r="BM65" s="271">
        <f>SUM(BM64)</f>
        <v>0</v>
      </c>
      <c r="BN65" s="406">
        <f t="shared" si="152"/>
        <v>0</v>
      </c>
      <c r="BO65" s="369">
        <f t="shared" si="152"/>
        <v>0</v>
      </c>
      <c r="BP65" s="406">
        <f t="shared" si="152"/>
        <v>0</v>
      </c>
      <c r="BQ65" s="406">
        <f t="shared" si="152"/>
        <v>0</v>
      </c>
      <c r="BR65" s="406">
        <f t="shared" si="152"/>
        <v>0</v>
      </c>
      <c r="BS65" s="406">
        <f t="shared" si="152"/>
        <v>0</v>
      </c>
      <c r="BT65" s="369">
        <f t="shared" si="152"/>
        <v>0</v>
      </c>
    </row>
    <row r="66" spans="1:72" s="182" customFormat="1" ht="13">
      <c r="A66" s="676">
        <f t="shared" si="11"/>
        <v>60</v>
      </c>
      <c r="B66" s="183"/>
      <c r="D66" s="190"/>
      <c r="E66" s="237"/>
      <c r="F66" s="237"/>
      <c r="G66" s="237"/>
      <c r="H66" s="40"/>
      <c r="I66" s="40"/>
      <c r="J66" s="40"/>
      <c r="K66" s="40"/>
      <c r="L66" s="237"/>
      <c r="M66" s="40"/>
      <c r="N66" s="40"/>
      <c r="O66" s="40"/>
      <c r="P66" s="40"/>
      <c r="Q66" s="237"/>
      <c r="R66" s="40"/>
      <c r="S66" s="40"/>
      <c r="T66" s="40"/>
      <c r="U66" s="40"/>
      <c r="V66" s="237"/>
      <c r="W66" s="40"/>
      <c r="X66" s="40"/>
      <c r="Y66" s="40"/>
      <c r="Z66" s="40"/>
      <c r="AA66" s="237"/>
      <c r="AB66" s="40"/>
      <c r="AC66" s="40"/>
      <c r="AD66" s="40"/>
      <c r="AE66" s="40"/>
      <c r="AF66" s="237"/>
      <c r="AG66" s="40"/>
      <c r="AH66" s="40"/>
      <c r="AI66" s="40"/>
      <c r="AJ66" s="40"/>
      <c r="AK66" s="237"/>
      <c r="AL66" s="40"/>
      <c r="AM66" s="40"/>
      <c r="AN66" s="40"/>
      <c r="AO66" s="40"/>
      <c r="AP66" s="237"/>
      <c r="AQ66" s="40"/>
      <c r="AR66" s="40"/>
      <c r="AS66" s="40"/>
      <c r="AT66" s="40"/>
      <c r="AU66" s="237"/>
      <c r="AV66" s="40"/>
      <c r="AW66" s="40"/>
      <c r="AX66" s="40"/>
      <c r="AY66" s="40"/>
      <c r="AZ66" s="237"/>
      <c r="BA66" s="40"/>
      <c r="BB66" s="40"/>
      <c r="BC66" s="40"/>
      <c r="BD66" s="40"/>
      <c r="BE66" s="237"/>
      <c r="BF66" s="40"/>
      <c r="BG66" s="40"/>
      <c r="BH66" s="40"/>
      <c r="BI66" s="40"/>
      <c r="BJ66" s="237"/>
      <c r="BK66" s="40"/>
      <c r="BL66" s="40"/>
      <c r="BM66" s="40"/>
      <c r="BN66" s="368"/>
      <c r="BO66" s="369"/>
      <c r="BP66" s="368"/>
      <c r="BQ66" s="368"/>
      <c r="BR66" s="368"/>
      <c r="BS66" s="368"/>
      <c r="BT66" s="369"/>
    </row>
    <row r="67" spans="1:72" s="212" customFormat="1" ht="13">
      <c r="A67" s="676">
        <f t="shared" si="11"/>
        <v>61</v>
      </c>
      <c r="B67" s="213" t="s">
        <v>196</v>
      </c>
      <c r="E67" s="237">
        <f t="shared" ref="E67:W67" si="153">E59-E65</f>
        <v>0</v>
      </c>
      <c r="F67" s="237">
        <f t="shared" si="153"/>
        <v>0</v>
      </c>
      <c r="G67" s="237">
        <f t="shared" si="153"/>
        <v>0</v>
      </c>
      <c r="H67" s="40">
        <f t="shared" si="153"/>
        <v>0</v>
      </c>
      <c r="I67" s="40">
        <f t="shared" si="153"/>
        <v>0</v>
      </c>
      <c r="J67" s="40">
        <f t="shared" si="153"/>
        <v>0</v>
      </c>
      <c r="K67" s="40">
        <f t="shared" si="153"/>
        <v>0</v>
      </c>
      <c r="L67" s="237">
        <f t="shared" si="153"/>
        <v>0</v>
      </c>
      <c r="M67" s="40">
        <f t="shared" si="153"/>
        <v>0</v>
      </c>
      <c r="N67" s="40">
        <f t="shared" si="153"/>
        <v>0</v>
      </c>
      <c r="O67" s="40">
        <f t="shared" si="153"/>
        <v>0</v>
      </c>
      <c r="P67" s="40">
        <f t="shared" si="153"/>
        <v>0</v>
      </c>
      <c r="Q67" s="237">
        <f t="shared" si="153"/>
        <v>0</v>
      </c>
      <c r="R67" s="40">
        <f t="shared" si="153"/>
        <v>0</v>
      </c>
      <c r="S67" s="40">
        <f t="shared" si="153"/>
        <v>0</v>
      </c>
      <c r="T67" s="40">
        <f t="shared" si="153"/>
        <v>0</v>
      </c>
      <c r="U67" s="40">
        <f t="shared" si="153"/>
        <v>0</v>
      </c>
      <c r="V67" s="237">
        <f t="shared" si="153"/>
        <v>0</v>
      </c>
      <c r="W67" s="40">
        <f t="shared" si="153"/>
        <v>0</v>
      </c>
      <c r="X67" s="40">
        <f t="shared" ref="X67:AD67" si="154">X59-X65</f>
        <v>0</v>
      </c>
      <c r="Y67" s="40">
        <f t="shared" si="154"/>
        <v>0</v>
      </c>
      <c r="Z67" s="40">
        <f t="shared" si="154"/>
        <v>0</v>
      </c>
      <c r="AA67" s="237">
        <f t="shared" si="154"/>
        <v>0</v>
      </c>
      <c r="AB67" s="40">
        <f t="shared" si="154"/>
        <v>0</v>
      </c>
      <c r="AC67" s="40">
        <f t="shared" si="154"/>
        <v>0</v>
      </c>
      <c r="AD67" s="40">
        <f t="shared" si="154"/>
        <v>0</v>
      </c>
      <c r="AE67" s="40">
        <f t="shared" ref="AE67:AQ67" si="155">AE59-AE65</f>
        <v>0</v>
      </c>
      <c r="AF67" s="237">
        <f t="shared" si="155"/>
        <v>0</v>
      </c>
      <c r="AG67" s="40">
        <f t="shared" si="155"/>
        <v>0</v>
      </c>
      <c r="AH67" s="40">
        <f t="shared" si="155"/>
        <v>0</v>
      </c>
      <c r="AI67" s="40">
        <f t="shared" si="155"/>
        <v>0</v>
      </c>
      <c r="AJ67" s="40">
        <f t="shared" si="155"/>
        <v>0</v>
      </c>
      <c r="AK67" s="237">
        <f t="shared" si="155"/>
        <v>0</v>
      </c>
      <c r="AL67" s="40">
        <f t="shared" si="155"/>
        <v>0</v>
      </c>
      <c r="AM67" s="40">
        <f t="shared" si="155"/>
        <v>0</v>
      </c>
      <c r="AN67" s="40">
        <f t="shared" si="155"/>
        <v>0</v>
      </c>
      <c r="AO67" s="40">
        <f t="shared" si="155"/>
        <v>0</v>
      </c>
      <c r="AP67" s="237">
        <f t="shared" si="155"/>
        <v>0</v>
      </c>
      <c r="AQ67" s="40">
        <f t="shared" si="155"/>
        <v>0</v>
      </c>
      <c r="AR67" s="40">
        <f t="shared" ref="AR67:AW67" si="156">AR59-AR65</f>
        <v>0</v>
      </c>
      <c r="AS67" s="40">
        <f t="shared" si="156"/>
        <v>0</v>
      </c>
      <c r="AT67" s="40">
        <f t="shared" si="156"/>
        <v>0</v>
      </c>
      <c r="AU67" s="237">
        <f t="shared" si="156"/>
        <v>0</v>
      </c>
      <c r="AV67" s="40">
        <f t="shared" si="156"/>
        <v>0</v>
      </c>
      <c r="AW67" s="40">
        <f t="shared" si="156"/>
        <v>0</v>
      </c>
      <c r="AX67" s="40">
        <f t="shared" ref="AX67:BF67" si="157">AX59-AX65</f>
        <v>0</v>
      </c>
      <c r="AY67" s="40">
        <f t="shared" si="157"/>
        <v>0</v>
      </c>
      <c r="AZ67" s="237">
        <f t="shared" si="157"/>
        <v>0</v>
      </c>
      <c r="BA67" s="40">
        <f t="shared" si="157"/>
        <v>0</v>
      </c>
      <c r="BB67" s="40">
        <f t="shared" si="157"/>
        <v>0</v>
      </c>
      <c r="BC67" s="40">
        <f t="shared" si="157"/>
        <v>0</v>
      </c>
      <c r="BD67" s="40">
        <f t="shared" si="157"/>
        <v>0</v>
      </c>
      <c r="BE67" s="237">
        <f t="shared" si="157"/>
        <v>0</v>
      </c>
      <c r="BF67" s="40">
        <f t="shared" si="157"/>
        <v>0</v>
      </c>
      <c r="BG67" s="40">
        <f t="shared" ref="BG67:BL67" si="158">BG59-BG65</f>
        <v>0</v>
      </c>
      <c r="BH67" s="40">
        <f t="shared" si="158"/>
        <v>0</v>
      </c>
      <c r="BI67" s="40">
        <f t="shared" si="158"/>
        <v>0</v>
      </c>
      <c r="BJ67" s="237">
        <f t="shared" si="158"/>
        <v>0</v>
      </c>
      <c r="BK67" s="40">
        <f t="shared" si="158"/>
        <v>0</v>
      </c>
      <c r="BL67" s="40">
        <f t="shared" si="158"/>
        <v>0</v>
      </c>
      <c r="BM67" s="40">
        <f>BM59-BM65</f>
        <v>0</v>
      </c>
      <c r="BN67" s="368">
        <f>BN68*BN59</f>
        <v>0</v>
      </c>
      <c r="BO67" s="369">
        <f>BO59-BO65</f>
        <v>0</v>
      </c>
      <c r="BP67" s="368">
        <f>BP68*BP59</f>
        <v>0</v>
      </c>
      <c r="BQ67" s="368">
        <f>BQ68*BQ59</f>
        <v>0</v>
      </c>
      <c r="BR67" s="368">
        <f>BR68*BR59</f>
        <v>0</v>
      </c>
      <c r="BS67" s="368">
        <f>BS68*BS59</f>
        <v>0</v>
      </c>
      <c r="BT67" s="369">
        <f>BT59-BT65</f>
        <v>0</v>
      </c>
    </row>
    <row r="68" spans="1:72" s="182" customFormat="1" ht="13">
      <c r="A68" s="676">
        <f t="shared" si="11"/>
        <v>62</v>
      </c>
      <c r="B68" s="183" t="s">
        <v>197</v>
      </c>
      <c r="D68" s="190"/>
      <c r="E68" s="186" t="e">
        <f t="shared" ref="E68:W68" si="159">E67/E59</f>
        <v>#DIV/0!</v>
      </c>
      <c r="F68" s="186" t="e">
        <f t="shared" si="159"/>
        <v>#DIV/0!</v>
      </c>
      <c r="G68" s="186" t="e">
        <f t="shared" si="159"/>
        <v>#DIV/0!</v>
      </c>
      <c r="H68" s="32" t="e">
        <f t="shared" si="159"/>
        <v>#DIV/0!</v>
      </c>
      <c r="I68" s="32" t="e">
        <f t="shared" si="159"/>
        <v>#DIV/0!</v>
      </c>
      <c r="J68" s="32" t="e">
        <f t="shared" si="159"/>
        <v>#DIV/0!</v>
      </c>
      <c r="K68" s="32" t="e">
        <f t="shared" si="159"/>
        <v>#DIV/0!</v>
      </c>
      <c r="L68" s="186" t="e">
        <f t="shared" si="159"/>
        <v>#DIV/0!</v>
      </c>
      <c r="M68" s="32" t="e">
        <f t="shared" si="159"/>
        <v>#DIV/0!</v>
      </c>
      <c r="N68" s="32" t="e">
        <f t="shared" si="159"/>
        <v>#DIV/0!</v>
      </c>
      <c r="O68" s="32" t="e">
        <f t="shared" si="159"/>
        <v>#DIV/0!</v>
      </c>
      <c r="P68" s="32" t="e">
        <f t="shared" si="159"/>
        <v>#DIV/0!</v>
      </c>
      <c r="Q68" s="186" t="e">
        <f t="shared" si="159"/>
        <v>#DIV/0!</v>
      </c>
      <c r="R68" s="32" t="e">
        <f t="shared" si="159"/>
        <v>#DIV/0!</v>
      </c>
      <c r="S68" s="32" t="e">
        <f t="shared" si="159"/>
        <v>#DIV/0!</v>
      </c>
      <c r="T68" s="32" t="e">
        <f t="shared" si="159"/>
        <v>#DIV/0!</v>
      </c>
      <c r="U68" s="32" t="e">
        <f t="shared" si="159"/>
        <v>#DIV/0!</v>
      </c>
      <c r="V68" s="186" t="e">
        <f t="shared" si="159"/>
        <v>#DIV/0!</v>
      </c>
      <c r="W68" s="32" t="e">
        <f t="shared" si="159"/>
        <v>#DIV/0!</v>
      </c>
      <c r="X68" s="32" t="e">
        <f t="shared" ref="X68:AD68" si="160">X67/X59</f>
        <v>#DIV/0!</v>
      </c>
      <c r="Y68" s="32" t="e">
        <f t="shared" si="160"/>
        <v>#DIV/0!</v>
      </c>
      <c r="Z68" s="32" t="e">
        <f t="shared" si="160"/>
        <v>#DIV/0!</v>
      </c>
      <c r="AA68" s="186" t="e">
        <f t="shared" si="160"/>
        <v>#DIV/0!</v>
      </c>
      <c r="AB68" s="32" t="e">
        <f t="shared" si="160"/>
        <v>#DIV/0!</v>
      </c>
      <c r="AC68" s="32" t="e">
        <f t="shared" si="160"/>
        <v>#DIV/0!</v>
      </c>
      <c r="AD68" s="32" t="e">
        <f t="shared" si="160"/>
        <v>#DIV/0!</v>
      </c>
      <c r="AE68" s="32" t="e">
        <f t="shared" ref="AE68:AQ68" si="161">AE67/AE59</f>
        <v>#DIV/0!</v>
      </c>
      <c r="AF68" s="186" t="e">
        <f t="shared" si="161"/>
        <v>#DIV/0!</v>
      </c>
      <c r="AG68" s="32" t="e">
        <f t="shared" si="161"/>
        <v>#DIV/0!</v>
      </c>
      <c r="AH68" s="32" t="e">
        <f t="shared" si="161"/>
        <v>#DIV/0!</v>
      </c>
      <c r="AI68" s="32" t="e">
        <f t="shared" si="161"/>
        <v>#DIV/0!</v>
      </c>
      <c r="AJ68" s="32" t="e">
        <f t="shared" si="161"/>
        <v>#DIV/0!</v>
      </c>
      <c r="AK68" s="186" t="e">
        <f t="shared" si="161"/>
        <v>#DIV/0!</v>
      </c>
      <c r="AL68" s="32" t="e">
        <f t="shared" si="161"/>
        <v>#DIV/0!</v>
      </c>
      <c r="AM68" s="32" t="e">
        <f t="shared" si="161"/>
        <v>#DIV/0!</v>
      </c>
      <c r="AN68" s="32" t="e">
        <f t="shared" si="161"/>
        <v>#DIV/0!</v>
      </c>
      <c r="AO68" s="32" t="e">
        <f t="shared" si="161"/>
        <v>#DIV/0!</v>
      </c>
      <c r="AP68" s="186" t="e">
        <f t="shared" si="161"/>
        <v>#DIV/0!</v>
      </c>
      <c r="AQ68" s="32" t="e">
        <f t="shared" si="161"/>
        <v>#DIV/0!</v>
      </c>
      <c r="AR68" s="32" t="e">
        <f t="shared" ref="AR68:AW68" si="162">AR67/AR59</f>
        <v>#DIV/0!</v>
      </c>
      <c r="AS68" s="32" t="e">
        <f t="shared" si="162"/>
        <v>#DIV/0!</v>
      </c>
      <c r="AT68" s="32" t="e">
        <f t="shared" si="162"/>
        <v>#DIV/0!</v>
      </c>
      <c r="AU68" s="186" t="e">
        <f t="shared" si="162"/>
        <v>#DIV/0!</v>
      </c>
      <c r="AV68" s="32" t="e">
        <f t="shared" si="162"/>
        <v>#DIV/0!</v>
      </c>
      <c r="AW68" s="32" t="e">
        <f t="shared" si="162"/>
        <v>#DIV/0!</v>
      </c>
      <c r="AX68" s="32" t="e">
        <f t="shared" ref="AX68:BG68" si="163">AX67/AX59</f>
        <v>#DIV/0!</v>
      </c>
      <c r="AY68" s="32" t="e">
        <f t="shared" si="163"/>
        <v>#DIV/0!</v>
      </c>
      <c r="AZ68" s="186" t="e">
        <f t="shared" si="163"/>
        <v>#DIV/0!</v>
      </c>
      <c r="BA68" s="32" t="e">
        <f t="shared" si="163"/>
        <v>#DIV/0!</v>
      </c>
      <c r="BB68" s="32" t="e">
        <f t="shared" si="163"/>
        <v>#DIV/0!</v>
      </c>
      <c r="BC68" s="32" t="e">
        <f t="shared" si="163"/>
        <v>#DIV/0!</v>
      </c>
      <c r="BD68" s="32" t="e">
        <f t="shared" si="163"/>
        <v>#DIV/0!</v>
      </c>
      <c r="BE68" s="186" t="e">
        <f t="shared" si="163"/>
        <v>#DIV/0!</v>
      </c>
      <c r="BF68" s="32" t="e">
        <f t="shared" si="163"/>
        <v>#DIV/0!</v>
      </c>
      <c r="BG68" s="32" t="e">
        <f t="shared" si="163"/>
        <v>#DIV/0!</v>
      </c>
      <c r="BH68" s="32" t="e">
        <f t="shared" ref="BH68:BM68" si="164">BH67/BH59</f>
        <v>#DIV/0!</v>
      </c>
      <c r="BI68" s="32" t="e">
        <f t="shared" si="164"/>
        <v>#DIV/0!</v>
      </c>
      <c r="BJ68" s="186" t="e">
        <f t="shared" si="164"/>
        <v>#DIV/0!</v>
      </c>
      <c r="BK68" s="32" t="e">
        <f t="shared" si="164"/>
        <v>#DIV/0!</v>
      </c>
      <c r="BL68" s="32" t="e">
        <f t="shared" si="164"/>
        <v>#DIV/0!</v>
      </c>
      <c r="BM68" s="32" t="e">
        <f t="shared" si="164"/>
        <v>#DIV/0!</v>
      </c>
      <c r="BN68" s="364">
        <v>0</v>
      </c>
      <c r="BO68" s="365" t="e">
        <f>BO67/BO59</f>
        <v>#DIV/0!</v>
      </c>
      <c r="BP68" s="364">
        <v>0</v>
      </c>
      <c r="BQ68" s="364">
        <v>0</v>
      </c>
      <c r="BR68" s="364">
        <v>0</v>
      </c>
      <c r="BS68" s="364">
        <v>0</v>
      </c>
      <c r="BT68" s="365" t="e">
        <f>BT67/BT59</f>
        <v>#DIV/0!</v>
      </c>
    </row>
    <row r="69" spans="1:72" s="182" customFormat="1" ht="13">
      <c r="A69" s="676">
        <f t="shared" si="11"/>
        <v>63</v>
      </c>
      <c r="B69" s="183"/>
      <c r="D69" s="190"/>
      <c r="E69" s="186"/>
      <c r="F69" s="186"/>
      <c r="G69" s="186"/>
      <c r="H69" s="32"/>
      <c r="I69" s="32"/>
      <c r="J69" s="32"/>
      <c r="K69" s="32"/>
      <c r="L69" s="186"/>
      <c r="M69" s="32"/>
      <c r="N69" s="32"/>
      <c r="O69" s="32"/>
      <c r="P69" s="32"/>
      <c r="Q69" s="186"/>
      <c r="R69" s="32"/>
      <c r="S69" s="32"/>
      <c r="T69" s="32"/>
      <c r="U69" s="32"/>
      <c r="V69" s="186"/>
      <c r="W69" s="32"/>
      <c r="X69" s="32"/>
      <c r="Y69" s="32"/>
      <c r="Z69" s="32"/>
      <c r="AA69" s="186"/>
      <c r="AB69" s="32"/>
      <c r="AC69" s="32"/>
      <c r="AD69" s="32"/>
      <c r="AE69" s="32"/>
      <c r="AF69" s="186"/>
      <c r="AG69" s="32"/>
      <c r="AH69" s="32"/>
      <c r="AI69" s="32"/>
      <c r="AJ69" s="32"/>
      <c r="AK69" s="186"/>
      <c r="AL69" s="32"/>
      <c r="AM69" s="32"/>
      <c r="AN69" s="32"/>
      <c r="AO69" s="32"/>
      <c r="AP69" s="186"/>
      <c r="AQ69" s="32"/>
      <c r="AR69" s="32"/>
      <c r="AS69" s="32"/>
      <c r="AT69" s="32"/>
      <c r="AU69" s="186"/>
      <c r="AV69" s="32"/>
      <c r="AW69" s="32"/>
      <c r="AX69" s="32"/>
      <c r="AY69" s="32"/>
      <c r="AZ69" s="186"/>
      <c r="BA69" s="32"/>
      <c r="BB69" s="32"/>
      <c r="BC69" s="32"/>
      <c r="BD69" s="32"/>
      <c r="BE69" s="186"/>
      <c r="BF69" s="32"/>
      <c r="BG69" s="32"/>
      <c r="BH69" s="32"/>
      <c r="BI69" s="32"/>
      <c r="BJ69" s="186"/>
      <c r="BK69" s="32"/>
      <c r="BL69" s="32"/>
      <c r="BM69" s="32"/>
      <c r="BN69" s="364"/>
      <c r="BO69" s="365"/>
      <c r="BP69" s="364"/>
      <c r="BQ69" s="364"/>
      <c r="BR69" s="364"/>
      <c r="BS69" s="364"/>
      <c r="BT69" s="365"/>
    </row>
    <row r="70" spans="1:72" s="182" customFormat="1" ht="13">
      <c r="A70" s="676">
        <f t="shared" si="11"/>
        <v>64</v>
      </c>
      <c r="B70" s="169" t="s">
        <v>198</v>
      </c>
      <c r="D70" s="190"/>
      <c r="E70" s="171"/>
      <c r="F70" s="171"/>
      <c r="G70" s="171"/>
      <c r="H70" s="40"/>
      <c r="I70" s="40"/>
      <c r="J70" s="40"/>
      <c r="K70" s="641"/>
      <c r="L70" s="171"/>
      <c r="M70" s="40"/>
      <c r="N70" s="40"/>
      <c r="O70" s="40"/>
      <c r="P70" s="641"/>
      <c r="Q70" s="171"/>
      <c r="R70" s="40"/>
      <c r="S70" s="40"/>
      <c r="T70" s="40"/>
      <c r="U70" s="40"/>
      <c r="V70" s="171"/>
      <c r="W70" s="40"/>
      <c r="X70" s="40"/>
      <c r="Y70" s="40"/>
      <c r="Z70" s="40"/>
      <c r="AA70" s="171"/>
      <c r="AB70" s="40"/>
      <c r="AC70" s="40"/>
      <c r="AD70" s="40"/>
      <c r="AE70" s="40"/>
      <c r="AF70" s="171">
        <f>SUM(AB70:AE70)</f>
        <v>0</v>
      </c>
      <c r="AG70" s="40"/>
      <c r="AH70" s="40"/>
      <c r="AI70" s="40"/>
      <c r="AJ70" s="40"/>
      <c r="AK70" s="171">
        <f>SUM(AG70:AJ70)</f>
        <v>0</v>
      </c>
      <c r="AL70" s="40"/>
      <c r="AM70" s="40"/>
      <c r="AN70" s="40"/>
      <c r="AO70" s="40"/>
      <c r="AP70" s="171">
        <f>SUM(AL70:AO70)</f>
        <v>0</v>
      </c>
      <c r="AQ70" s="40"/>
      <c r="AR70" s="40"/>
      <c r="AS70" s="40"/>
      <c r="AT70" s="40"/>
      <c r="AU70" s="171">
        <f>SUM(AQ70:AT70)</f>
        <v>0</v>
      </c>
      <c r="AV70" s="40"/>
      <c r="AW70" s="40"/>
      <c r="AX70" s="40"/>
      <c r="AY70" s="40"/>
      <c r="AZ70" s="171">
        <f>SUM(AV70:AY70)</f>
        <v>0</v>
      </c>
      <c r="BA70" s="40"/>
      <c r="BB70" s="40"/>
      <c r="BC70" s="40"/>
      <c r="BD70" s="40"/>
      <c r="BE70" s="171">
        <f>SUM(BA70:BD70)</f>
        <v>0</v>
      </c>
      <c r="BF70" s="40"/>
      <c r="BG70" s="40"/>
      <c r="BH70" s="40"/>
      <c r="BI70" s="40"/>
      <c r="BJ70" s="171">
        <f>SUM(BF70:BI70)</f>
        <v>0</v>
      </c>
      <c r="BK70" s="40"/>
      <c r="BL70" s="40"/>
      <c r="BM70" s="40"/>
      <c r="BN70" s="368">
        <f>BN71*BN59</f>
        <v>0</v>
      </c>
      <c r="BO70" s="375">
        <f>SUM(BK70:BN70)</f>
        <v>0</v>
      </c>
      <c r="BP70" s="368">
        <f>BP71*BP59</f>
        <v>0</v>
      </c>
      <c r="BQ70" s="368">
        <f>BQ71*BQ59</f>
        <v>0</v>
      </c>
      <c r="BR70" s="368">
        <f>BR71*BR59</f>
        <v>0</v>
      </c>
      <c r="BS70" s="368">
        <f>BS71*BS59</f>
        <v>0</v>
      </c>
      <c r="BT70" s="375">
        <f>SUM(BP70:BS70)</f>
        <v>0</v>
      </c>
    </row>
    <row r="71" spans="1:72" s="182" customFormat="1" ht="13">
      <c r="A71" s="676">
        <f t="shared" si="11"/>
        <v>65</v>
      </c>
      <c r="B71" s="183" t="s">
        <v>199</v>
      </c>
      <c r="D71" s="190"/>
      <c r="E71" s="273" t="e">
        <f t="shared" ref="E71:W71" si="165">E70/E59</f>
        <v>#DIV/0!</v>
      </c>
      <c r="F71" s="273" t="e">
        <f t="shared" si="165"/>
        <v>#DIV/0!</v>
      </c>
      <c r="G71" s="273" t="e">
        <f t="shared" si="165"/>
        <v>#DIV/0!</v>
      </c>
      <c r="H71" s="272" t="e">
        <f t="shared" si="165"/>
        <v>#DIV/0!</v>
      </c>
      <c r="I71" s="272" t="e">
        <f t="shared" si="165"/>
        <v>#DIV/0!</v>
      </c>
      <c r="J71" s="272" t="e">
        <f t="shared" si="165"/>
        <v>#DIV/0!</v>
      </c>
      <c r="K71" s="642" t="e">
        <f t="shared" si="165"/>
        <v>#DIV/0!</v>
      </c>
      <c r="L71" s="273" t="e">
        <f t="shared" si="165"/>
        <v>#DIV/0!</v>
      </c>
      <c r="M71" s="272" t="e">
        <f t="shared" si="165"/>
        <v>#DIV/0!</v>
      </c>
      <c r="N71" s="272" t="e">
        <f t="shared" si="165"/>
        <v>#DIV/0!</v>
      </c>
      <c r="O71" s="272" t="e">
        <f t="shared" si="165"/>
        <v>#DIV/0!</v>
      </c>
      <c r="P71" s="642" t="e">
        <f t="shared" si="165"/>
        <v>#DIV/0!</v>
      </c>
      <c r="Q71" s="273" t="e">
        <f t="shared" si="165"/>
        <v>#DIV/0!</v>
      </c>
      <c r="R71" s="272" t="e">
        <f t="shared" si="165"/>
        <v>#DIV/0!</v>
      </c>
      <c r="S71" s="272" t="e">
        <f t="shared" si="165"/>
        <v>#DIV/0!</v>
      </c>
      <c r="T71" s="272" t="e">
        <f t="shared" si="165"/>
        <v>#DIV/0!</v>
      </c>
      <c r="U71" s="272" t="e">
        <f t="shared" si="165"/>
        <v>#DIV/0!</v>
      </c>
      <c r="V71" s="273" t="e">
        <f t="shared" si="165"/>
        <v>#DIV/0!</v>
      </c>
      <c r="W71" s="272" t="e">
        <f t="shared" si="165"/>
        <v>#DIV/0!</v>
      </c>
      <c r="X71" s="272" t="e">
        <f t="shared" ref="X71:AD71" si="166">X70/X59</f>
        <v>#DIV/0!</v>
      </c>
      <c r="Y71" s="272" t="e">
        <f t="shared" si="166"/>
        <v>#DIV/0!</v>
      </c>
      <c r="Z71" s="272" t="e">
        <f t="shared" si="166"/>
        <v>#DIV/0!</v>
      </c>
      <c r="AA71" s="273" t="e">
        <f t="shared" si="166"/>
        <v>#DIV/0!</v>
      </c>
      <c r="AB71" s="272" t="e">
        <f t="shared" si="166"/>
        <v>#DIV/0!</v>
      </c>
      <c r="AC71" s="272" t="e">
        <f t="shared" si="166"/>
        <v>#DIV/0!</v>
      </c>
      <c r="AD71" s="272" t="e">
        <f t="shared" si="166"/>
        <v>#DIV/0!</v>
      </c>
      <c r="AE71" s="272" t="e">
        <f t="shared" ref="AE71:AQ71" si="167">AE70/AE59</f>
        <v>#DIV/0!</v>
      </c>
      <c r="AF71" s="273" t="e">
        <f t="shared" si="167"/>
        <v>#DIV/0!</v>
      </c>
      <c r="AG71" s="272" t="e">
        <f t="shared" si="167"/>
        <v>#DIV/0!</v>
      </c>
      <c r="AH71" s="272" t="e">
        <f t="shared" si="167"/>
        <v>#DIV/0!</v>
      </c>
      <c r="AI71" s="272" t="e">
        <f t="shared" si="167"/>
        <v>#DIV/0!</v>
      </c>
      <c r="AJ71" s="272" t="e">
        <f t="shared" si="167"/>
        <v>#DIV/0!</v>
      </c>
      <c r="AK71" s="273" t="e">
        <f t="shared" si="167"/>
        <v>#DIV/0!</v>
      </c>
      <c r="AL71" s="272" t="e">
        <f t="shared" si="167"/>
        <v>#DIV/0!</v>
      </c>
      <c r="AM71" s="272" t="e">
        <f t="shared" si="167"/>
        <v>#DIV/0!</v>
      </c>
      <c r="AN71" s="272" t="e">
        <f t="shared" si="167"/>
        <v>#DIV/0!</v>
      </c>
      <c r="AO71" s="272" t="e">
        <f t="shared" si="167"/>
        <v>#DIV/0!</v>
      </c>
      <c r="AP71" s="273" t="e">
        <f t="shared" si="167"/>
        <v>#DIV/0!</v>
      </c>
      <c r="AQ71" s="272" t="e">
        <f t="shared" si="167"/>
        <v>#DIV/0!</v>
      </c>
      <c r="AR71" s="272" t="e">
        <f t="shared" ref="AR71:AW71" si="168">AR70/AR59</f>
        <v>#DIV/0!</v>
      </c>
      <c r="AS71" s="272" t="e">
        <f t="shared" si="168"/>
        <v>#DIV/0!</v>
      </c>
      <c r="AT71" s="272" t="e">
        <f t="shared" si="168"/>
        <v>#DIV/0!</v>
      </c>
      <c r="AU71" s="273" t="e">
        <f t="shared" si="168"/>
        <v>#DIV/0!</v>
      </c>
      <c r="AV71" s="272" t="e">
        <f t="shared" si="168"/>
        <v>#DIV/0!</v>
      </c>
      <c r="AW71" s="272" t="e">
        <f t="shared" si="168"/>
        <v>#DIV/0!</v>
      </c>
      <c r="AX71" s="272" t="e">
        <f t="shared" ref="AX71:BG71" si="169">AX70/AX59</f>
        <v>#DIV/0!</v>
      </c>
      <c r="AY71" s="272" t="e">
        <f t="shared" si="169"/>
        <v>#DIV/0!</v>
      </c>
      <c r="AZ71" s="273" t="e">
        <f t="shared" si="169"/>
        <v>#DIV/0!</v>
      </c>
      <c r="BA71" s="272" t="e">
        <f t="shared" si="169"/>
        <v>#DIV/0!</v>
      </c>
      <c r="BB71" s="272" t="e">
        <f t="shared" si="169"/>
        <v>#DIV/0!</v>
      </c>
      <c r="BC71" s="272" t="e">
        <f t="shared" si="169"/>
        <v>#DIV/0!</v>
      </c>
      <c r="BD71" s="272" t="e">
        <f t="shared" si="169"/>
        <v>#DIV/0!</v>
      </c>
      <c r="BE71" s="273" t="e">
        <f t="shared" si="169"/>
        <v>#DIV/0!</v>
      </c>
      <c r="BF71" s="272" t="e">
        <f t="shared" si="169"/>
        <v>#DIV/0!</v>
      </c>
      <c r="BG71" s="272" t="e">
        <f t="shared" si="169"/>
        <v>#DIV/0!</v>
      </c>
      <c r="BH71" s="272" t="e">
        <f t="shared" ref="BH71:BM71" si="170">BH70/BH59</f>
        <v>#DIV/0!</v>
      </c>
      <c r="BI71" s="272" t="e">
        <f t="shared" si="170"/>
        <v>#DIV/0!</v>
      </c>
      <c r="BJ71" s="273" t="e">
        <f t="shared" si="170"/>
        <v>#DIV/0!</v>
      </c>
      <c r="BK71" s="272" t="e">
        <f t="shared" si="170"/>
        <v>#DIV/0!</v>
      </c>
      <c r="BL71" s="272" t="e">
        <f t="shared" si="170"/>
        <v>#DIV/0!</v>
      </c>
      <c r="BM71" s="272" t="e">
        <f t="shared" si="170"/>
        <v>#DIV/0!</v>
      </c>
      <c r="BN71" s="407"/>
      <c r="BO71" s="408" t="e">
        <f>BO70/BO59</f>
        <v>#DIV/0!</v>
      </c>
      <c r="BP71" s="407"/>
      <c r="BQ71" s="407"/>
      <c r="BR71" s="407"/>
      <c r="BS71" s="407"/>
      <c r="BT71" s="408" t="e">
        <f>BT70/BT59</f>
        <v>#DIV/0!</v>
      </c>
    </row>
    <row r="72" spans="1:72" s="182" customFormat="1" ht="13">
      <c r="A72" s="676">
        <f t="shared" si="11"/>
        <v>66</v>
      </c>
      <c r="B72" s="169" t="s">
        <v>200</v>
      </c>
      <c r="D72" s="190"/>
      <c r="E72" s="171"/>
      <c r="F72" s="171"/>
      <c r="G72" s="171"/>
      <c r="H72" s="40"/>
      <c r="I72" s="40"/>
      <c r="J72" s="40"/>
      <c r="K72" s="641"/>
      <c r="L72" s="171"/>
      <c r="M72" s="40"/>
      <c r="N72" s="40"/>
      <c r="O72" s="40"/>
      <c r="P72" s="641"/>
      <c r="Q72" s="171"/>
      <c r="R72" s="40"/>
      <c r="S72" s="40"/>
      <c r="T72" s="40"/>
      <c r="U72" s="40"/>
      <c r="V72" s="171"/>
      <c r="W72" s="40"/>
      <c r="X72" s="40"/>
      <c r="Y72" s="40"/>
      <c r="Z72" s="40"/>
      <c r="AA72" s="171"/>
      <c r="AB72" s="40"/>
      <c r="AC72" s="40"/>
      <c r="AD72" s="40"/>
      <c r="AE72" s="40"/>
      <c r="AF72" s="171">
        <f>SUM(AB72:AE72)</f>
        <v>0</v>
      </c>
      <c r="AG72" s="40"/>
      <c r="AH72" s="40"/>
      <c r="AI72" s="40"/>
      <c r="AJ72" s="40"/>
      <c r="AK72" s="171">
        <f>SUM(AG72:AJ72)</f>
        <v>0</v>
      </c>
      <c r="AL72" s="40"/>
      <c r="AM72" s="40"/>
      <c r="AN72" s="40"/>
      <c r="AO72" s="40"/>
      <c r="AP72" s="171">
        <f>SUM(AL72:AO72)</f>
        <v>0</v>
      </c>
      <c r="AQ72" s="40"/>
      <c r="AR72" s="40"/>
      <c r="AS72" s="40"/>
      <c r="AT72" s="40"/>
      <c r="AU72" s="171">
        <f>SUM(AQ72:AT72)</f>
        <v>0</v>
      </c>
      <c r="AV72" s="40"/>
      <c r="AW72" s="40"/>
      <c r="AX72" s="40"/>
      <c r="AY72" s="40"/>
      <c r="AZ72" s="171">
        <f>SUM(AV72:AY72)</f>
        <v>0</v>
      </c>
      <c r="BA72" s="40"/>
      <c r="BB72" s="40"/>
      <c r="BC72" s="40"/>
      <c r="BD72" s="40"/>
      <c r="BE72" s="171">
        <f>SUM(BA72:BD72)</f>
        <v>0</v>
      </c>
      <c r="BF72" s="40"/>
      <c r="BG72" s="40"/>
      <c r="BH72" s="40"/>
      <c r="BI72" s="40"/>
      <c r="BJ72" s="171">
        <f>SUM(BF72:BI72)</f>
        <v>0</v>
      </c>
      <c r="BK72" s="40"/>
      <c r="BL72" s="40"/>
      <c r="BM72" s="40"/>
      <c r="BN72" s="368">
        <f>BN73*BN59</f>
        <v>0</v>
      </c>
      <c r="BO72" s="375">
        <f>SUM(BK72:BN72)</f>
        <v>0</v>
      </c>
      <c r="BP72" s="368">
        <f>BP73*BP59</f>
        <v>0</v>
      </c>
      <c r="BQ72" s="368">
        <f>BQ73*BQ59</f>
        <v>0</v>
      </c>
      <c r="BR72" s="368">
        <f>BR73*BR59</f>
        <v>0</v>
      </c>
      <c r="BS72" s="368">
        <f>BS73*BS59</f>
        <v>0</v>
      </c>
      <c r="BT72" s="375">
        <f>SUM(BP72:BS72)</f>
        <v>0</v>
      </c>
    </row>
    <row r="73" spans="1:72" s="182" customFormat="1" ht="13">
      <c r="A73" s="676">
        <f t="shared" ref="A73:A136" si="171">+A72+1</f>
        <v>67</v>
      </c>
      <c r="B73" s="183" t="s">
        <v>199</v>
      </c>
      <c r="D73" s="190"/>
      <c r="E73" s="273" t="e">
        <f t="shared" ref="E73:W73" si="172">E72/E59</f>
        <v>#DIV/0!</v>
      </c>
      <c r="F73" s="273" t="e">
        <f t="shared" si="172"/>
        <v>#DIV/0!</v>
      </c>
      <c r="G73" s="273" t="e">
        <f t="shared" si="172"/>
        <v>#DIV/0!</v>
      </c>
      <c r="H73" s="272" t="e">
        <f t="shared" si="172"/>
        <v>#DIV/0!</v>
      </c>
      <c r="I73" s="272" t="e">
        <f t="shared" si="172"/>
        <v>#DIV/0!</v>
      </c>
      <c r="J73" s="272" t="e">
        <f t="shared" si="172"/>
        <v>#DIV/0!</v>
      </c>
      <c r="K73" s="272" t="e">
        <f t="shared" si="172"/>
        <v>#DIV/0!</v>
      </c>
      <c r="L73" s="273" t="e">
        <f t="shared" si="172"/>
        <v>#DIV/0!</v>
      </c>
      <c r="M73" s="272" t="e">
        <f t="shared" si="172"/>
        <v>#DIV/0!</v>
      </c>
      <c r="N73" s="272" t="e">
        <f t="shared" si="172"/>
        <v>#DIV/0!</v>
      </c>
      <c r="O73" s="272" t="e">
        <f t="shared" si="172"/>
        <v>#DIV/0!</v>
      </c>
      <c r="P73" s="272" t="e">
        <f t="shared" si="172"/>
        <v>#DIV/0!</v>
      </c>
      <c r="Q73" s="273" t="e">
        <f t="shared" si="172"/>
        <v>#DIV/0!</v>
      </c>
      <c r="R73" s="272" t="e">
        <f t="shared" si="172"/>
        <v>#DIV/0!</v>
      </c>
      <c r="S73" s="272" t="e">
        <f t="shared" si="172"/>
        <v>#DIV/0!</v>
      </c>
      <c r="T73" s="272" t="e">
        <f t="shared" si="172"/>
        <v>#DIV/0!</v>
      </c>
      <c r="U73" s="272" t="e">
        <f t="shared" si="172"/>
        <v>#DIV/0!</v>
      </c>
      <c r="V73" s="273" t="e">
        <f t="shared" si="172"/>
        <v>#DIV/0!</v>
      </c>
      <c r="W73" s="272" t="e">
        <f t="shared" si="172"/>
        <v>#DIV/0!</v>
      </c>
      <c r="X73" s="272" t="e">
        <f t="shared" ref="X73:AD73" si="173">X72/X59</f>
        <v>#DIV/0!</v>
      </c>
      <c r="Y73" s="272" t="e">
        <f t="shared" si="173"/>
        <v>#DIV/0!</v>
      </c>
      <c r="Z73" s="272" t="e">
        <f t="shared" si="173"/>
        <v>#DIV/0!</v>
      </c>
      <c r="AA73" s="273" t="e">
        <f t="shared" si="173"/>
        <v>#DIV/0!</v>
      </c>
      <c r="AB73" s="272" t="e">
        <f t="shared" si="173"/>
        <v>#DIV/0!</v>
      </c>
      <c r="AC73" s="272" t="e">
        <f t="shared" si="173"/>
        <v>#DIV/0!</v>
      </c>
      <c r="AD73" s="272" t="e">
        <f t="shared" si="173"/>
        <v>#DIV/0!</v>
      </c>
      <c r="AE73" s="272" t="e">
        <f t="shared" ref="AE73:AQ73" si="174">AE72/AE59</f>
        <v>#DIV/0!</v>
      </c>
      <c r="AF73" s="273" t="e">
        <f t="shared" si="174"/>
        <v>#DIV/0!</v>
      </c>
      <c r="AG73" s="272" t="e">
        <f t="shared" si="174"/>
        <v>#DIV/0!</v>
      </c>
      <c r="AH73" s="272" t="e">
        <f t="shared" si="174"/>
        <v>#DIV/0!</v>
      </c>
      <c r="AI73" s="272" t="e">
        <f t="shared" si="174"/>
        <v>#DIV/0!</v>
      </c>
      <c r="AJ73" s="272" t="e">
        <f t="shared" si="174"/>
        <v>#DIV/0!</v>
      </c>
      <c r="AK73" s="273" t="e">
        <f t="shared" si="174"/>
        <v>#DIV/0!</v>
      </c>
      <c r="AL73" s="272" t="e">
        <f t="shared" si="174"/>
        <v>#DIV/0!</v>
      </c>
      <c r="AM73" s="272" t="e">
        <f t="shared" si="174"/>
        <v>#DIV/0!</v>
      </c>
      <c r="AN73" s="272" t="e">
        <f t="shared" si="174"/>
        <v>#DIV/0!</v>
      </c>
      <c r="AO73" s="272" t="e">
        <f t="shared" si="174"/>
        <v>#DIV/0!</v>
      </c>
      <c r="AP73" s="273" t="e">
        <f t="shared" si="174"/>
        <v>#DIV/0!</v>
      </c>
      <c r="AQ73" s="272" t="e">
        <f t="shared" si="174"/>
        <v>#DIV/0!</v>
      </c>
      <c r="AR73" s="272" t="e">
        <f t="shared" ref="AR73:AW73" si="175">AR72/AR59</f>
        <v>#DIV/0!</v>
      </c>
      <c r="AS73" s="272" t="e">
        <f t="shared" si="175"/>
        <v>#DIV/0!</v>
      </c>
      <c r="AT73" s="272" t="e">
        <f t="shared" si="175"/>
        <v>#DIV/0!</v>
      </c>
      <c r="AU73" s="273" t="e">
        <f t="shared" si="175"/>
        <v>#DIV/0!</v>
      </c>
      <c r="AV73" s="272" t="e">
        <f t="shared" si="175"/>
        <v>#DIV/0!</v>
      </c>
      <c r="AW73" s="272" t="e">
        <f t="shared" si="175"/>
        <v>#DIV/0!</v>
      </c>
      <c r="AX73" s="272" t="e">
        <f t="shared" ref="AX73:BG73" si="176">AX72/AX59</f>
        <v>#DIV/0!</v>
      </c>
      <c r="AY73" s="272" t="e">
        <f t="shared" si="176"/>
        <v>#DIV/0!</v>
      </c>
      <c r="AZ73" s="273" t="e">
        <f t="shared" si="176"/>
        <v>#DIV/0!</v>
      </c>
      <c r="BA73" s="272" t="e">
        <f t="shared" si="176"/>
        <v>#DIV/0!</v>
      </c>
      <c r="BB73" s="272" t="e">
        <f t="shared" si="176"/>
        <v>#DIV/0!</v>
      </c>
      <c r="BC73" s="272" t="e">
        <f t="shared" si="176"/>
        <v>#DIV/0!</v>
      </c>
      <c r="BD73" s="272" t="e">
        <f t="shared" si="176"/>
        <v>#DIV/0!</v>
      </c>
      <c r="BE73" s="273" t="e">
        <f t="shared" si="176"/>
        <v>#DIV/0!</v>
      </c>
      <c r="BF73" s="272" t="e">
        <f t="shared" si="176"/>
        <v>#DIV/0!</v>
      </c>
      <c r="BG73" s="272" t="e">
        <f t="shared" si="176"/>
        <v>#DIV/0!</v>
      </c>
      <c r="BH73" s="272" t="e">
        <f t="shared" ref="BH73:BM73" si="177">BH72/BH59</f>
        <v>#DIV/0!</v>
      </c>
      <c r="BI73" s="272" t="e">
        <f t="shared" si="177"/>
        <v>#DIV/0!</v>
      </c>
      <c r="BJ73" s="273" t="e">
        <f t="shared" si="177"/>
        <v>#DIV/0!</v>
      </c>
      <c r="BK73" s="272" t="e">
        <f t="shared" si="177"/>
        <v>#DIV/0!</v>
      </c>
      <c r="BL73" s="272" t="e">
        <f t="shared" si="177"/>
        <v>#DIV/0!</v>
      </c>
      <c r="BM73" s="272" t="e">
        <f t="shared" si="177"/>
        <v>#DIV/0!</v>
      </c>
      <c r="BN73" s="407"/>
      <c r="BO73" s="408" t="e">
        <f>BO72/BO59</f>
        <v>#DIV/0!</v>
      </c>
      <c r="BP73" s="407"/>
      <c r="BQ73" s="407"/>
      <c r="BR73" s="407"/>
      <c r="BS73" s="407"/>
      <c r="BT73" s="408" t="e">
        <f>BT72/BT59</f>
        <v>#DIV/0!</v>
      </c>
    </row>
    <row r="74" spans="1:72" s="182" customFormat="1" ht="13">
      <c r="A74" s="676">
        <f t="shared" si="171"/>
        <v>68</v>
      </c>
      <c r="B74" s="183"/>
      <c r="D74" s="190"/>
      <c r="E74" s="237"/>
      <c r="F74" s="237"/>
      <c r="G74" s="237"/>
      <c r="H74" s="40"/>
      <c r="I74" s="40"/>
      <c r="J74" s="40"/>
      <c r="K74" s="40"/>
      <c r="L74" s="237"/>
      <c r="M74" s="40"/>
      <c r="N74" s="40"/>
      <c r="O74" s="40"/>
      <c r="P74" s="40"/>
      <c r="Q74" s="237"/>
      <c r="R74" s="40"/>
      <c r="S74" s="40"/>
      <c r="T74" s="40"/>
      <c r="U74" s="40"/>
      <c r="V74" s="237"/>
      <c r="W74" s="40"/>
      <c r="X74" s="40"/>
      <c r="Y74" s="40"/>
      <c r="Z74" s="40"/>
      <c r="AA74" s="237"/>
      <c r="AB74" s="40"/>
      <c r="AC74" s="40"/>
      <c r="AD74" s="40"/>
      <c r="AE74" s="40"/>
      <c r="AF74" s="237"/>
      <c r="AG74" s="40"/>
      <c r="AH74" s="40"/>
      <c r="AI74" s="40"/>
      <c r="AJ74" s="40"/>
      <c r="AK74" s="237"/>
      <c r="AL74" s="40"/>
      <c r="AM74" s="40"/>
      <c r="AN74" s="40"/>
      <c r="AO74" s="40"/>
      <c r="AP74" s="237"/>
      <c r="AQ74" s="40"/>
      <c r="AR74" s="40"/>
      <c r="AS74" s="40"/>
      <c r="AT74" s="40"/>
      <c r="AU74" s="237"/>
      <c r="AV74" s="40"/>
      <c r="AW74" s="40"/>
      <c r="AX74" s="40"/>
      <c r="AY74" s="40"/>
      <c r="AZ74" s="237"/>
      <c r="BA74" s="40"/>
      <c r="BB74" s="40"/>
      <c r="BC74" s="40"/>
      <c r="BD74" s="40"/>
      <c r="BE74" s="237"/>
      <c r="BF74" s="40"/>
      <c r="BG74" s="40"/>
      <c r="BH74" s="40"/>
      <c r="BI74" s="40"/>
      <c r="BJ74" s="237"/>
      <c r="BK74" s="40"/>
      <c r="BL74" s="40"/>
      <c r="BM74" s="40"/>
      <c r="BN74" s="368"/>
      <c r="BO74" s="369"/>
      <c r="BP74" s="368"/>
      <c r="BQ74" s="368"/>
      <c r="BR74" s="368"/>
      <c r="BS74" s="368"/>
      <c r="BT74" s="369"/>
    </row>
    <row r="75" spans="1:72" s="182" customFormat="1" ht="13">
      <c r="A75" s="676">
        <f t="shared" si="171"/>
        <v>69</v>
      </c>
      <c r="B75" s="169" t="s">
        <v>201</v>
      </c>
      <c r="D75" s="190"/>
      <c r="E75" s="237"/>
      <c r="F75" s="237"/>
      <c r="G75" s="237">
        <v>0</v>
      </c>
      <c r="H75" s="40"/>
      <c r="I75" s="40"/>
      <c r="J75" s="40">
        <v>0</v>
      </c>
      <c r="K75" s="641">
        <f>L75-I75-J75-H75</f>
        <v>0</v>
      </c>
      <c r="L75" s="237">
        <v>0</v>
      </c>
      <c r="M75" s="40"/>
      <c r="N75" s="40"/>
      <c r="O75" s="40"/>
      <c r="P75" s="641"/>
      <c r="Q75" s="237"/>
      <c r="R75" s="40"/>
      <c r="S75" s="40"/>
      <c r="T75" s="40"/>
      <c r="U75" s="40"/>
      <c r="V75" s="237"/>
      <c r="W75" s="40">
        <v>0</v>
      </c>
      <c r="X75" s="40"/>
      <c r="Y75" s="40"/>
      <c r="Z75" s="40"/>
      <c r="AA75" s="237"/>
      <c r="AB75" s="40">
        <v>0</v>
      </c>
      <c r="AC75" s="40"/>
      <c r="AD75" s="40"/>
      <c r="AE75" s="40"/>
      <c r="AF75" s="237">
        <f>SUM(AB75:AE75)</f>
        <v>0</v>
      </c>
      <c r="AG75" s="40">
        <v>0</v>
      </c>
      <c r="AH75" s="40"/>
      <c r="AI75" s="40"/>
      <c r="AJ75" s="40"/>
      <c r="AK75" s="237">
        <f>SUM(AG75:AJ75)</f>
        <v>0</v>
      </c>
      <c r="AL75" s="40">
        <v>0</v>
      </c>
      <c r="AM75" s="40"/>
      <c r="AN75" s="40"/>
      <c r="AO75" s="40"/>
      <c r="AP75" s="237">
        <f>SUM(AL75:AO75)</f>
        <v>0</v>
      </c>
      <c r="AQ75" s="40">
        <v>0</v>
      </c>
      <c r="AR75" s="40"/>
      <c r="AS75" s="40"/>
      <c r="AT75" s="40"/>
      <c r="AU75" s="237">
        <f>SUM(AQ75:AT75)</f>
        <v>0</v>
      </c>
      <c r="AV75" s="40">
        <v>0</v>
      </c>
      <c r="AW75" s="40"/>
      <c r="AX75" s="40"/>
      <c r="AY75" s="40"/>
      <c r="AZ75" s="237">
        <f>SUM(AV75:AY75)</f>
        <v>0</v>
      </c>
      <c r="BA75" s="40">
        <v>0</v>
      </c>
      <c r="BB75" s="40"/>
      <c r="BC75" s="40"/>
      <c r="BD75" s="40"/>
      <c r="BE75" s="237">
        <f>SUM(BA75:BD75)</f>
        <v>0</v>
      </c>
      <c r="BF75" s="40">
        <v>0</v>
      </c>
      <c r="BG75" s="40"/>
      <c r="BH75" s="40"/>
      <c r="BI75" s="40"/>
      <c r="BJ75" s="237">
        <f>SUM(BF75:BI75)</f>
        <v>0</v>
      </c>
      <c r="BK75" s="40">
        <v>0</v>
      </c>
      <c r="BL75" s="40"/>
      <c r="BM75" s="40"/>
      <c r="BN75" s="368">
        <v>0</v>
      </c>
      <c r="BO75" s="369">
        <f>SUM(BK75:BN75)</f>
        <v>0</v>
      </c>
      <c r="BP75" s="368">
        <v>0</v>
      </c>
      <c r="BQ75" s="368">
        <v>0</v>
      </c>
      <c r="BR75" s="368">
        <v>0</v>
      </c>
      <c r="BS75" s="368">
        <v>0</v>
      </c>
      <c r="BT75" s="369">
        <f>SUM(BP75:BS75)</f>
        <v>0</v>
      </c>
    </row>
    <row r="76" spans="1:72" s="182" customFormat="1" ht="13">
      <c r="A76" s="676">
        <f t="shared" si="171"/>
        <v>70</v>
      </c>
      <c r="B76" s="169" t="s">
        <v>202</v>
      </c>
      <c r="D76" s="190"/>
      <c r="E76" s="237"/>
      <c r="F76" s="237"/>
      <c r="G76" s="237"/>
      <c r="H76" s="40"/>
      <c r="I76" s="40"/>
      <c r="J76" s="40">
        <v>0</v>
      </c>
      <c r="K76" s="269"/>
      <c r="L76" s="237"/>
      <c r="M76" s="40"/>
      <c r="N76" s="40"/>
      <c r="O76" s="40"/>
      <c r="P76" s="269"/>
      <c r="Q76" s="237"/>
      <c r="R76" s="40"/>
      <c r="S76" s="40"/>
      <c r="T76" s="40"/>
      <c r="U76" s="40">
        <v>0</v>
      </c>
      <c r="V76" s="237">
        <f>SUM(R76:U76)</f>
        <v>0</v>
      </c>
      <c r="W76" s="40">
        <v>0</v>
      </c>
      <c r="X76" s="40"/>
      <c r="Y76" s="40"/>
      <c r="Z76" s="40">
        <v>0</v>
      </c>
      <c r="AA76" s="237">
        <f>SUM(W76:Z76)</f>
        <v>0</v>
      </c>
      <c r="AB76" s="40">
        <v>0</v>
      </c>
      <c r="AC76" s="40"/>
      <c r="AD76" s="40"/>
      <c r="AE76" s="40">
        <v>0</v>
      </c>
      <c r="AF76" s="237">
        <f>SUM(AB76:AE76)</f>
        <v>0</v>
      </c>
      <c r="AG76" s="40">
        <v>0</v>
      </c>
      <c r="AH76" s="40"/>
      <c r="AI76" s="40"/>
      <c r="AJ76" s="40">
        <v>0</v>
      </c>
      <c r="AK76" s="237">
        <f>SUM(AG76:AJ76)</f>
        <v>0</v>
      </c>
      <c r="AL76" s="40">
        <v>0</v>
      </c>
      <c r="AM76" s="40"/>
      <c r="AN76" s="40"/>
      <c r="AO76" s="40">
        <v>0</v>
      </c>
      <c r="AP76" s="237">
        <f>SUM(AL76:AO76)</f>
        <v>0</v>
      </c>
      <c r="AQ76" s="40">
        <v>0</v>
      </c>
      <c r="AR76" s="40"/>
      <c r="AS76" s="40"/>
      <c r="AT76" s="40">
        <v>0</v>
      </c>
      <c r="AU76" s="237">
        <f>SUM(AQ76:AT76)</f>
        <v>0</v>
      </c>
      <c r="AV76" s="40">
        <v>0</v>
      </c>
      <c r="AW76" s="40"/>
      <c r="AX76" s="40"/>
      <c r="AY76" s="40">
        <v>0</v>
      </c>
      <c r="AZ76" s="237">
        <f>SUM(AV76:AY76)</f>
        <v>0</v>
      </c>
      <c r="BA76" s="40">
        <v>0</v>
      </c>
      <c r="BB76" s="40"/>
      <c r="BC76" s="40"/>
      <c r="BD76" s="40">
        <v>0</v>
      </c>
      <c r="BE76" s="237">
        <f>SUM(BA76:BD76)</f>
        <v>0</v>
      </c>
      <c r="BF76" s="40">
        <v>0</v>
      </c>
      <c r="BG76" s="40"/>
      <c r="BH76" s="40"/>
      <c r="BI76" s="40">
        <v>0</v>
      </c>
      <c r="BJ76" s="237">
        <f>SUM(BF76:BI76)</f>
        <v>0</v>
      </c>
      <c r="BK76" s="40">
        <v>0</v>
      </c>
      <c r="BL76" s="40"/>
      <c r="BM76" s="40"/>
      <c r="BN76" s="368">
        <v>0</v>
      </c>
      <c r="BO76" s="369">
        <f>SUM(BK76:BN76)</f>
        <v>0</v>
      </c>
      <c r="BP76" s="368">
        <v>0</v>
      </c>
      <c r="BQ76" s="368">
        <v>0</v>
      </c>
      <c r="BR76" s="368">
        <v>0</v>
      </c>
      <c r="BS76" s="368">
        <v>0</v>
      </c>
      <c r="BT76" s="369">
        <f>SUM(BP76:BS76)</f>
        <v>0</v>
      </c>
    </row>
    <row r="77" spans="1:72" s="182" customFormat="1" ht="13">
      <c r="A77" s="676">
        <f t="shared" si="171"/>
        <v>71</v>
      </c>
      <c r="B77" s="169" t="s">
        <v>203</v>
      </c>
      <c r="D77" s="190"/>
      <c r="E77" s="237"/>
      <c r="F77" s="237"/>
      <c r="G77" s="237"/>
      <c r="H77" s="40"/>
      <c r="I77" s="40"/>
      <c r="J77" s="40">
        <v>0</v>
      </c>
      <c r="K77" s="269"/>
      <c r="L77" s="237"/>
      <c r="M77" s="40"/>
      <c r="N77" s="40"/>
      <c r="O77" s="40"/>
      <c r="P77" s="269"/>
      <c r="Q77" s="237"/>
      <c r="R77" s="40"/>
      <c r="S77" s="40"/>
      <c r="T77" s="40"/>
      <c r="U77" s="40">
        <f>P77</f>
        <v>0</v>
      </c>
      <c r="V77" s="237">
        <f>SUM(R77:U77)</f>
        <v>0</v>
      </c>
      <c r="W77" s="40">
        <f>R77</f>
        <v>0</v>
      </c>
      <c r="X77" s="40"/>
      <c r="Y77" s="40"/>
      <c r="Z77" s="40">
        <f>U77</f>
        <v>0</v>
      </c>
      <c r="AA77" s="237">
        <f>SUM(W77:Z77)</f>
        <v>0</v>
      </c>
      <c r="AB77" s="40">
        <f>W77</f>
        <v>0</v>
      </c>
      <c r="AC77" s="40"/>
      <c r="AD77" s="40"/>
      <c r="AE77" s="40">
        <f>Z77</f>
        <v>0</v>
      </c>
      <c r="AF77" s="237">
        <f>SUM(AB77:AE77)</f>
        <v>0</v>
      </c>
      <c r="AG77" s="40">
        <f>AB77</f>
        <v>0</v>
      </c>
      <c r="AH77" s="40"/>
      <c r="AI77" s="40"/>
      <c r="AJ77" s="40">
        <f>AE77</f>
        <v>0</v>
      </c>
      <c r="AK77" s="237">
        <f>SUM(AG77:AJ77)</f>
        <v>0</v>
      </c>
      <c r="AL77" s="40">
        <f>AG77</f>
        <v>0</v>
      </c>
      <c r="AM77" s="40"/>
      <c r="AN77" s="40"/>
      <c r="AO77" s="40">
        <f>AJ77</f>
        <v>0</v>
      </c>
      <c r="AP77" s="237">
        <f>SUM(AL77:AO77)</f>
        <v>0</v>
      </c>
      <c r="AQ77" s="40">
        <f>AL77</f>
        <v>0</v>
      </c>
      <c r="AR77" s="40"/>
      <c r="AS77" s="40"/>
      <c r="AT77" s="40">
        <f>AO77</f>
        <v>0</v>
      </c>
      <c r="AU77" s="237">
        <f>SUM(AQ77:AT77)</f>
        <v>0</v>
      </c>
      <c r="AV77" s="40">
        <f>AQ77</f>
        <v>0</v>
      </c>
      <c r="AW77" s="40"/>
      <c r="AX77" s="40"/>
      <c r="AY77" s="40">
        <f>AT77</f>
        <v>0</v>
      </c>
      <c r="AZ77" s="237">
        <f>SUM(AV77:AY77)</f>
        <v>0</v>
      </c>
      <c r="BA77" s="40">
        <f>AV77</f>
        <v>0</v>
      </c>
      <c r="BB77" s="40"/>
      <c r="BC77" s="40"/>
      <c r="BD77" s="40">
        <f>AY77</f>
        <v>0</v>
      </c>
      <c r="BE77" s="237">
        <f>SUM(BA77:BD77)</f>
        <v>0</v>
      </c>
      <c r="BF77" s="40">
        <f>BA77</f>
        <v>0</v>
      </c>
      <c r="BG77" s="40"/>
      <c r="BH77" s="40"/>
      <c r="BI77" s="40">
        <f>BD77</f>
        <v>0</v>
      </c>
      <c r="BJ77" s="237">
        <f>SUM(BF77:BI77)</f>
        <v>0</v>
      </c>
      <c r="BK77" s="40">
        <f>BF77</f>
        <v>0</v>
      </c>
      <c r="BL77" s="40"/>
      <c r="BM77" s="40"/>
      <c r="BN77" s="368">
        <f>BI77</f>
        <v>0</v>
      </c>
      <c r="BO77" s="369">
        <f>SUM(BK77:BN77)</f>
        <v>0</v>
      </c>
      <c r="BP77" s="368">
        <f>BK77</f>
        <v>0</v>
      </c>
      <c r="BQ77" s="368">
        <f>BL77</f>
        <v>0</v>
      </c>
      <c r="BR77" s="368">
        <f>BM77</f>
        <v>0</v>
      </c>
      <c r="BS77" s="368">
        <f>BN77</f>
        <v>0</v>
      </c>
      <c r="BT77" s="369">
        <f>SUM(BP77:BS77)</f>
        <v>0</v>
      </c>
    </row>
    <row r="78" spans="1:72" s="182" customFormat="1" ht="13">
      <c r="A78" s="676">
        <f t="shared" si="171"/>
        <v>72</v>
      </c>
      <c r="B78" s="169" t="s">
        <v>204</v>
      </c>
      <c r="D78" s="190"/>
      <c r="E78" s="237"/>
      <c r="F78" s="237"/>
      <c r="G78" s="237"/>
      <c r="H78" s="40"/>
      <c r="I78" s="40"/>
      <c r="J78" s="40">
        <v>0</v>
      </c>
      <c r="K78" s="269"/>
      <c r="L78" s="237"/>
      <c r="M78" s="40"/>
      <c r="N78" s="40"/>
      <c r="O78" s="40"/>
      <c r="P78" s="269"/>
      <c r="Q78" s="237"/>
      <c r="R78" s="40"/>
      <c r="S78" s="40"/>
      <c r="T78" s="40"/>
      <c r="U78" s="40">
        <v>0</v>
      </c>
      <c r="V78" s="237">
        <f>SUM(R78:U78)</f>
        <v>0</v>
      </c>
      <c r="W78" s="40">
        <v>0</v>
      </c>
      <c r="X78" s="40"/>
      <c r="Y78" s="40"/>
      <c r="Z78" s="40">
        <v>0</v>
      </c>
      <c r="AA78" s="237">
        <f>SUM(W78:Z78)</f>
        <v>0</v>
      </c>
      <c r="AB78" s="40">
        <v>0</v>
      </c>
      <c r="AC78" s="40"/>
      <c r="AD78" s="40"/>
      <c r="AE78" s="40">
        <v>0</v>
      </c>
      <c r="AF78" s="237">
        <f>SUM(AB78:AE78)</f>
        <v>0</v>
      </c>
      <c r="AG78" s="40">
        <v>0</v>
      </c>
      <c r="AH78" s="40"/>
      <c r="AI78" s="40"/>
      <c r="AJ78" s="40">
        <v>0</v>
      </c>
      <c r="AK78" s="237">
        <f>SUM(AG78:AJ78)</f>
        <v>0</v>
      </c>
      <c r="AL78" s="40">
        <v>0</v>
      </c>
      <c r="AM78" s="40"/>
      <c r="AN78" s="40"/>
      <c r="AO78" s="40">
        <v>0</v>
      </c>
      <c r="AP78" s="237">
        <f>SUM(AL78:AO78)</f>
        <v>0</v>
      </c>
      <c r="AQ78" s="40">
        <v>0</v>
      </c>
      <c r="AR78" s="40"/>
      <c r="AS78" s="40"/>
      <c r="AT78" s="40">
        <v>0</v>
      </c>
      <c r="AU78" s="237">
        <f>SUM(AQ78:AT78)</f>
        <v>0</v>
      </c>
      <c r="AV78" s="40">
        <v>0</v>
      </c>
      <c r="AW78" s="40"/>
      <c r="AX78" s="40"/>
      <c r="AY78" s="40">
        <v>0</v>
      </c>
      <c r="AZ78" s="237">
        <f>SUM(AV78:AY78)</f>
        <v>0</v>
      </c>
      <c r="BA78" s="40">
        <v>0</v>
      </c>
      <c r="BB78" s="40"/>
      <c r="BC78" s="40"/>
      <c r="BD78" s="40">
        <v>0</v>
      </c>
      <c r="BE78" s="237">
        <f>SUM(BA78:BD78)</f>
        <v>0</v>
      </c>
      <c r="BF78" s="40">
        <v>0</v>
      </c>
      <c r="BG78" s="40"/>
      <c r="BH78" s="40"/>
      <c r="BI78" s="40">
        <v>0</v>
      </c>
      <c r="BJ78" s="237">
        <f>SUM(BF78:BI78)</f>
        <v>0</v>
      </c>
      <c r="BK78" s="40">
        <v>0</v>
      </c>
      <c r="BL78" s="40"/>
      <c r="BM78" s="40"/>
      <c r="BN78" s="368">
        <v>0</v>
      </c>
      <c r="BO78" s="369">
        <f>SUM(BK78:BN78)</f>
        <v>0</v>
      </c>
      <c r="BP78" s="368">
        <v>0</v>
      </c>
      <c r="BQ78" s="368">
        <v>0</v>
      </c>
      <c r="BR78" s="368">
        <v>0</v>
      </c>
      <c r="BS78" s="368">
        <v>0</v>
      </c>
      <c r="BT78" s="369">
        <f>SUM(BP78:BS78)</f>
        <v>0</v>
      </c>
    </row>
    <row r="79" spans="1:72" s="182" customFormat="1" ht="13">
      <c r="A79" s="676">
        <f t="shared" si="171"/>
        <v>73</v>
      </c>
      <c r="B79" s="183"/>
      <c r="D79" s="190"/>
      <c r="E79" s="237"/>
      <c r="F79" s="237"/>
      <c r="G79" s="237"/>
      <c r="H79" s="40"/>
      <c r="I79" s="40"/>
      <c r="J79" s="40"/>
      <c r="K79" s="40"/>
      <c r="L79" s="237"/>
      <c r="M79" s="40"/>
      <c r="N79" s="40"/>
      <c r="O79" s="40"/>
      <c r="P79" s="40"/>
      <c r="Q79" s="237"/>
      <c r="R79" s="40"/>
      <c r="S79" s="40"/>
      <c r="T79" s="40"/>
      <c r="U79" s="40"/>
      <c r="V79" s="237"/>
      <c r="W79" s="40"/>
      <c r="X79" s="40"/>
      <c r="Y79" s="40"/>
      <c r="Z79" s="40"/>
      <c r="AA79" s="237"/>
      <c r="AB79" s="40"/>
      <c r="AC79" s="40"/>
      <c r="AD79" s="40"/>
      <c r="AE79" s="40"/>
      <c r="AF79" s="237"/>
      <c r="AG79" s="40"/>
      <c r="AH79" s="40"/>
      <c r="AI79" s="40"/>
      <c r="AJ79" s="40"/>
      <c r="AK79" s="237"/>
      <c r="AL79" s="40"/>
      <c r="AM79" s="40"/>
      <c r="AN79" s="40"/>
      <c r="AO79" s="40"/>
      <c r="AP79" s="237"/>
      <c r="AQ79" s="40"/>
      <c r="AR79" s="40"/>
      <c r="AS79" s="40"/>
      <c r="AT79" s="40"/>
      <c r="AU79" s="237"/>
      <c r="AV79" s="40"/>
      <c r="AW79" s="40"/>
      <c r="AX79" s="40"/>
      <c r="AY79" s="40"/>
      <c r="AZ79" s="237"/>
      <c r="BA79" s="40"/>
      <c r="BB79" s="40"/>
      <c r="BC79" s="40"/>
      <c r="BD79" s="40"/>
      <c r="BE79" s="237"/>
      <c r="BF79" s="40"/>
      <c r="BG79" s="40"/>
      <c r="BH79" s="40"/>
      <c r="BI79" s="40"/>
      <c r="BJ79" s="237"/>
      <c r="BK79" s="40"/>
      <c r="BL79" s="40"/>
      <c r="BM79" s="40"/>
      <c r="BN79" s="368"/>
      <c r="BO79" s="369"/>
      <c r="BP79" s="368"/>
      <c r="BQ79" s="368"/>
      <c r="BR79" s="368"/>
      <c r="BS79" s="368"/>
      <c r="BT79" s="369"/>
    </row>
    <row r="80" spans="1:72" s="182" customFormat="1" ht="13">
      <c r="A80" s="676">
        <f t="shared" si="171"/>
        <v>74</v>
      </c>
      <c r="B80" s="183" t="s">
        <v>205</v>
      </c>
      <c r="D80" s="190"/>
      <c r="E80" s="171">
        <f t="shared" ref="E80:P80" si="178">E67-E70-E77-E75-E76-E78-E72</f>
        <v>0</v>
      </c>
      <c r="F80" s="171">
        <f t="shared" si="178"/>
        <v>0</v>
      </c>
      <c r="G80" s="171">
        <f t="shared" si="178"/>
        <v>0</v>
      </c>
      <c r="H80" s="40">
        <f t="shared" si="178"/>
        <v>0</v>
      </c>
      <c r="I80" s="40">
        <f t="shared" si="178"/>
        <v>0</v>
      </c>
      <c r="J80" s="40">
        <f t="shared" si="178"/>
        <v>0</v>
      </c>
      <c r="K80" s="40">
        <f>K67-K70-K77-K75-K76-K78-K72</f>
        <v>0</v>
      </c>
      <c r="L80" s="171">
        <f t="shared" si="178"/>
        <v>0</v>
      </c>
      <c r="M80" s="40">
        <f>M67-M70-M77-M75-M76-M78-M72</f>
        <v>0</v>
      </c>
      <c r="N80" s="40">
        <f t="shared" si="178"/>
        <v>0</v>
      </c>
      <c r="O80" s="40">
        <f t="shared" si="178"/>
        <v>0</v>
      </c>
      <c r="P80" s="40">
        <f t="shared" si="178"/>
        <v>0</v>
      </c>
      <c r="Q80" s="171">
        <f>Q67-Q70-Q77-Q75-Q76-Q78-Q72</f>
        <v>0</v>
      </c>
      <c r="R80" s="40">
        <f>R67-R70-R77-R75-R76-R78-R72</f>
        <v>0</v>
      </c>
      <c r="S80" s="40">
        <f t="shared" ref="S80:AJ80" si="179">S67-S70-S77-S75-S76-S78-S72</f>
        <v>0</v>
      </c>
      <c r="T80" s="40">
        <f t="shared" si="179"/>
        <v>0</v>
      </c>
      <c r="U80" s="40">
        <f t="shared" si="179"/>
        <v>0</v>
      </c>
      <c r="V80" s="171">
        <f t="shared" si="179"/>
        <v>0</v>
      </c>
      <c r="W80" s="40">
        <f t="shared" si="179"/>
        <v>0</v>
      </c>
      <c r="X80" s="40">
        <f t="shared" ref="X80:AD80" si="180">X67-X70-X77-X75-X76-X78-X72</f>
        <v>0</v>
      </c>
      <c r="Y80" s="40">
        <f t="shared" si="180"/>
        <v>0</v>
      </c>
      <c r="Z80" s="40">
        <f t="shared" si="180"/>
        <v>0</v>
      </c>
      <c r="AA80" s="171">
        <f t="shared" si="180"/>
        <v>0</v>
      </c>
      <c r="AB80" s="40">
        <f t="shared" si="180"/>
        <v>0</v>
      </c>
      <c r="AC80" s="40">
        <f t="shared" si="180"/>
        <v>0</v>
      </c>
      <c r="AD80" s="40">
        <f t="shared" si="180"/>
        <v>0</v>
      </c>
      <c r="AE80" s="40">
        <f>AE67-AE70-AE77-AE75-AE76-AE78-AE72</f>
        <v>0</v>
      </c>
      <c r="AF80" s="171">
        <f t="shared" si="179"/>
        <v>0</v>
      </c>
      <c r="AG80" s="40">
        <f t="shared" si="179"/>
        <v>0</v>
      </c>
      <c r="AH80" s="40">
        <f t="shared" si="179"/>
        <v>0</v>
      </c>
      <c r="AI80" s="40">
        <f t="shared" si="179"/>
        <v>0</v>
      </c>
      <c r="AJ80" s="40">
        <f t="shared" si="179"/>
        <v>0</v>
      </c>
      <c r="AK80" s="171">
        <f t="shared" ref="AK80:AP80" si="181">AK67-AK70-AK77-AK75-AK76-AK78-AK72</f>
        <v>0</v>
      </c>
      <c r="AL80" s="40">
        <f t="shared" si="181"/>
        <v>0</v>
      </c>
      <c r="AM80" s="40">
        <f t="shared" si="181"/>
        <v>0</v>
      </c>
      <c r="AN80" s="40">
        <f t="shared" si="181"/>
        <v>0</v>
      </c>
      <c r="AO80" s="40">
        <f t="shared" si="181"/>
        <v>0</v>
      </c>
      <c r="AP80" s="171">
        <f t="shared" si="181"/>
        <v>0</v>
      </c>
      <c r="AQ80" s="40">
        <f>AQ67-AQ70-AQ77-AQ75-AQ76-AQ78-AQ72</f>
        <v>0</v>
      </c>
      <c r="AR80" s="40">
        <f>AR67-AR70-AR77-AR75-AR76-AR78-AR72</f>
        <v>0</v>
      </c>
      <c r="AS80" s="40">
        <f>AS67-AS70-AS77-AS75-AS76-AS78-AS72</f>
        <v>0</v>
      </c>
      <c r="AT80" s="40">
        <f>AT67-AT70-AT77-AT75-AT76-AT78-AT72</f>
        <v>0</v>
      </c>
      <c r="AU80" s="171">
        <f>AU67-AU70-AU77-AU75-AU76-AU78-AU72</f>
        <v>0</v>
      </c>
      <c r="AV80" s="40">
        <f t="shared" ref="AV80:BA80" si="182">AV67-AV70-AV77-AV75-AV76-AV78-AV72</f>
        <v>0</v>
      </c>
      <c r="AW80" s="40">
        <f t="shared" si="182"/>
        <v>0</v>
      </c>
      <c r="AX80" s="40">
        <f t="shared" si="182"/>
        <v>0</v>
      </c>
      <c r="AY80" s="40">
        <f t="shared" si="182"/>
        <v>0</v>
      </c>
      <c r="AZ80" s="171">
        <f t="shared" si="182"/>
        <v>0</v>
      </c>
      <c r="BA80" s="40">
        <f t="shared" si="182"/>
        <v>0</v>
      </c>
      <c r="BB80" s="40">
        <f t="shared" ref="BB80:BG80" si="183">BB67-BB70-BB77-BB75-BB76-BB78-BB72</f>
        <v>0</v>
      </c>
      <c r="BC80" s="40">
        <f t="shared" si="183"/>
        <v>0</v>
      </c>
      <c r="BD80" s="40">
        <f t="shared" si="183"/>
        <v>0</v>
      </c>
      <c r="BE80" s="171">
        <f t="shared" si="183"/>
        <v>0</v>
      </c>
      <c r="BF80" s="40">
        <f t="shared" si="183"/>
        <v>0</v>
      </c>
      <c r="BG80" s="40">
        <f t="shared" si="183"/>
        <v>0</v>
      </c>
      <c r="BH80" s="40">
        <f t="shared" ref="BH80:BT80" si="184">BH67-BH70-BH77-BH75-BH76-BH78-BH72</f>
        <v>0</v>
      </c>
      <c r="BI80" s="40">
        <f t="shared" si="184"/>
        <v>0</v>
      </c>
      <c r="BJ80" s="171">
        <f t="shared" si="184"/>
        <v>0</v>
      </c>
      <c r="BK80" s="40">
        <f t="shared" si="184"/>
        <v>0</v>
      </c>
      <c r="BL80" s="40">
        <f t="shared" si="184"/>
        <v>0</v>
      </c>
      <c r="BM80" s="40">
        <f>BM67-BM70-BM77-BM75-BM76-BM78-BM72</f>
        <v>0</v>
      </c>
      <c r="BN80" s="368">
        <f t="shared" si="184"/>
        <v>0</v>
      </c>
      <c r="BO80" s="375">
        <f t="shared" si="184"/>
        <v>0</v>
      </c>
      <c r="BP80" s="368">
        <f t="shared" si="184"/>
        <v>0</v>
      </c>
      <c r="BQ80" s="368">
        <f t="shared" si="184"/>
        <v>0</v>
      </c>
      <c r="BR80" s="368">
        <f t="shared" si="184"/>
        <v>0</v>
      </c>
      <c r="BS80" s="368">
        <f t="shared" si="184"/>
        <v>0</v>
      </c>
      <c r="BT80" s="375">
        <f t="shared" si="184"/>
        <v>0</v>
      </c>
    </row>
    <row r="81" spans="1:72" s="182" customFormat="1" ht="13">
      <c r="A81" s="676">
        <f t="shared" si="171"/>
        <v>75</v>
      </c>
      <c r="B81" s="183" t="s">
        <v>206</v>
      </c>
      <c r="D81" s="190"/>
      <c r="E81" s="186" t="e">
        <f t="shared" ref="E81:AF81" si="185">E80/E59</f>
        <v>#DIV/0!</v>
      </c>
      <c r="F81" s="186" t="e">
        <f t="shared" si="185"/>
        <v>#DIV/0!</v>
      </c>
      <c r="G81" s="186" t="e">
        <f t="shared" si="185"/>
        <v>#DIV/0!</v>
      </c>
      <c r="H81" s="32" t="e">
        <f t="shared" si="185"/>
        <v>#DIV/0!</v>
      </c>
      <c r="I81" s="32" t="e">
        <f t="shared" si="185"/>
        <v>#DIV/0!</v>
      </c>
      <c r="J81" s="32" t="e">
        <f t="shared" si="185"/>
        <v>#DIV/0!</v>
      </c>
      <c r="K81" s="32" t="e">
        <f t="shared" si="185"/>
        <v>#DIV/0!</v>
      </c>
      <c r="L81" s="186" t="e">
        <f t="shared" si="185"/>
        <v>#DIV/0!</v>
      </c>
      <c r="M81" s="32" t="e">
        <f t="shared" si="185"/>
        <v>#DIV/0!</v>
      </c>
      <c r="N81" s="32" t="e">
        <f t="shared" si="185"/>
        <v>#DIV/0!</v>
      </c>
      <c r="O81" s="32" t="e">
        <f t="shared" si="185"/>
        <v>#DIV/0!</v>
      </c>
      <c r="P81" s="32" t="e">
        <f t="shared" si="185"/>
        <v>#DIV/0!</v>
      </c>
      <c r="Q81" s="186" t="e">
        <f t="shared" si="185"/>
        <v>#DIV/0!</v>
      </c>
      <c r="R81" s="32" t="e">
        <f t="shared" si="185"/>
        <v>#DIV/0!</v>
      </c>
      <c r="S81" s="32" t="e">
        <f t="shared" si="185"/>
        <v>#DIV/0!</v>
      </c>
      <c r="T81" s="32" t="e">
        <f t="shared" si="185"/>
        <v>#DIV/0!</v>
      </c>
      <c r="U81" s="32" t="e">
        <f t="shared" si="185"/>
        <v>#DIV/0!</v>
      </c>
      <c r="V81" s="186" t="e">
        <f t="shared" si="185"/>
        <v>#DIV/0!</v>
      </c>
      <c r="W81" s="32" t="e">
        <f t="shared" si="185"/>
        <v>#DIV/0!</v>
      </c>
      <c r="X81" s="32" t="e">
        <f>X80/X59</f>
        <v>#DIV/0!</v>
      </c>
      <c r="Y81" s="32" t="e">
        <f>Y80/Y59</f>
        <v>#DIV/0!</v>
      </c>
      <c r="Z81" s="32" t="e">
        <f t="shared" si="185"/>
        <v>#DIV/0!</v>
      </c>
      <c r="AA81" s="186" t="e">
        <f t="shared" si="185"/>
        <v>#DIV/0!</v>
      </c>
      <c r="AB81" s="32" t="e">
        <f t="shared" si="185"/>
        <v>#DIV/0!</v>
      </c>
      <c r="AC81" s="32" t="e">
        <f>AC80/AC59</f>
        <v>#DIV/0!</v>
      </c>
      <c r="AD81" s="32" t="e">
        <f>AD80/AD59</f>
        <v>#DIV/0!</v>
      </c>
      <c r="AE81" s="32" t="e">
        <f>AE80/AE59</f>
        <v>#DIV/0!</v>
      </c>
      <c r="AF81" s="186" t="e">
        <f t="shared" si="185"/>
        <v>#DIV/0!</v>
      </c>
      <c r="AG81" s="32" t="e">
        <f t="shared" ref="AG81:AQ81" si="186">AG80/AG59</f>
        <v>#DIV/0!</v>
      </c>
      <c r="AH81" s="32" t="e">
        <f t="shared" si="186"/>
        <v>#DIV/0!</v>
      </c>
      <c r="AI81" s="32" t="e">
        <f t="shared" si="186"/>
        <v>#DIV/0!</v>
      </c>
      <c r="AJ81" s="32" t="e">
        <f t="shared" si="186"/>
        <v>#DIV/0!</v>
      </c>
      <c r="AK81" s="186" t="e">
        <f t="shared" si="186"/>
        <v>#DIV/0!</v>
      </c>
      <c r="AL81" s="32" t="e">
        <f t="shared" si="186"/>
        <v>#DIV/0!</v>
      </c>
      <c r="AM81" s="32" t="e">
        <f t="shared" si="186"/>
        <v>#DIV/0!</v>
      </c>
      <c r="AN81" s="32" t="e">
        <f t="shared" si="186"/>
        <v>#DIV/0!</v>
      </c>
      <c r="AO81" s="32" t="e">
        <f t="shared" si="186"/>
        <v>#DIV/0!</v>
      </c>
      <c r="AP81" s="186" t="e">
        <f t="shared" si="186"/>
        <v>#DIV/0!</v>
      </c>
      <c r="AQ81" s="32" t="e">
        <f t="shared" si="186"/>
        <v>#DIV/0!</v>
      </c>
      <c r="AR81" s="32" t="e">
        <f t="shared" ref="AR81:AW81" si="187">AR80/AR59</f>
        <v>#DIV/0!</v>
      </c>
      <c r="AS81" s="32" t="e">
        <f t="shared" si="187"/>
        <v>#DIV/0!</v>
      </c>
      <c r="AT81" s="32" t="e">
        <f t="shared" si="187"/>
        <v>#DIV/0!</v>
      </c>
      <c r="AU81" s="186" t="e">
        <f t="shared" si="187"/>
        <v>#DIV/0!</v>
      </c>
      <c r="AV81" s="32" t="e">
        <f t="shared" si="187"/>
        <v>#DIV/0!</v>
      </c>
      <c r="AW81" s="32" t="e">
        <f t="shared" si="187"/>
        <v>#DIV/0!</v>
      </c>
      <c r="AX81" s="32" t="e">
        <f t="shared" ref="AX81:BG81" si="188">AX80/AX59</f>
        <v>#DIV/0!</v>
      </c>
      <c r="AY81" s="32" t="e">
        <f t="shared" si="188"/>
        <v>#DIV/0!</v>
      </c>
      <c r="AZ81" s="186" t="e">
        <f t="shared" si="188"/>
        <v>#DIV/0!</v>
      </c>
      <c r="BA81" s="32" t="e">
        <f t="shared" si="188"/>
        <v>#DIV/0!</v>
      </c>
      <c r="BB81" s="32" t="e">
        <f t="shared" si="188"/>
        <v>#DIV/0!</v>
      </c>
      <c r="BC81" s="32" t="e">
        <f t="shared" si="188"/>
        <v>#DIV/0!</v>
      </c>
      <c r="BD81" s="32" t="e">
        <f t="shared" si="188"/>
        <v>#DIV/0!</v>
      </c>
      <c r="BE81" s="186" t="e">
        <f t="shared" si="188"/>
        <v>#DIV/0!</v>
      </c>
      <c r="BF81" s="32" t="e">
        <f t="shared" si="188"/>
        <v>#DIV/0!</v>
      </c>
      <c r="BG81" s="32" t="e">
        <f t="shared" si="188"/>
        <v>#DIV/0!</v>
      </c>
      <c r="BH81" s="32" t="e">
        <f t="shared" ref="BH81:BT81" si="189">BH80/BH59</f>
        <v>#DIV/0!</v>
      </c>
      <c r="BI81" s="32" t="e">
        <f t="shared" si="189"/>
        <v>#DIV/0!</v>
      </c>
      <c r="BJ81" s="186" t="e">
        <f t="shared" si="189"/>
        <v>#DIV/0!</v>
      </c>
      <c r="BK81" s="32" t="e">
        <f t="shared" si="189"/>
        <v>#DIV/0!</v>
      </c>
      <c r="BL81" s="32" t="e">
        <f t="shared" si="189"/>
        <v>#DIV/0!</v>
      </c>
      <c r="BM81" s="32" t="e">
        <f>BM80/BM59</f>
        <v>#DIV/0!</v>
      </c>
      <c r="BN81" s="364" t="e">
        <f t="shared" si="189"/>
        <v>#DIV/0!</v>
      </c>
      <c r="BO81" s="365" t="e">
        <f t="shared" si="189"/>
        <v>#DIV/0!</v>
      </c>
      <c r="BP81" s="364" t="e">
        <f t="shared" si="189"/>
        <v>#DIV/0!</v>
      </c>
      <c r="BQ81" s="364" t="e">
        <f t="shared" si="189"/>
        <v>#DIV/0!</v>
      </c>
      <c r="BR81" s="364" t="e">
        <f t="shared" si="189"/>
        <v>#DIV/0!</v>
      </c>
      <c r="BS81" s="364" t="e">
        <f t="shared" si="189"/>
        <v>#DIV/0!</v>
      </c>
      <c r="BT81" s="365" t="e">
        <f t="shared" si="189"/>
        <v>#DIV/0!</v>
      </c>
    </row>
    <row r="82" spans="1:72" s="182" customFormat="1" ht="13">
      <c r="A82" s="676">
        <f t="shared" si="171"/>
        <v>76</v>
      </c>
      <c r="D82" s="215"/>
      <c r="E82" s="238"/>
      <c r="F82" s="238"/>
      <c r="G82" s="238"/>
      <c r="H82" s="240"/>
      <c r="I82" s="240"/>
      <c r="J82" s="240"/>
      <c r="K82" s="240"/>
      <c r="L82" s="238"/>
      <c r="M82" s="240"/>
      <c r="N82" s="240"/>
      <c r="O82" s="240"/>
      <c r="P82" s="240"/>
      <c r="Q82" s="238"/>
      <c r="R82" s="240"/>
      <c r="S82" s="240"/>
      <c r="T82" s="240"/>
      <c r="U82" s="240"/>
      <c r="V82" s="238"/>
      <c r="W82" s="240"/>
      <c r="X82" s="240"/>
      <c r="Y82" s="240"/>
      <c r="Z82" s="240"/>
      <c r="AA82" s="238"/>
      <c r="AB82" s="240"/>
      <c r="AC82" s="240"/>
      <c r="AD82" s="240"/>
      <c r="AE82" s="240"/>
      <c r="AF82" s="238"/>
      <c r="AG82" s="240"/>
      <c r="AH82" s="240"/>
      <c r="AI82" s="240"/>
      <c r="AJ82" s="240"/>
      <c r="AK82" s="238"/>
      <c r="AL82" s="240"/>
      <c r="AM82" s="240"/>
      <c r="AN82" s="240"/>
      <c r="AO82" s="240"/>
      <c r="AP82" s="238"/>
      <c r="AQ82" s="240"/>
      <c r="AR82" s="240"/>
      <c r="AS82" s="240"/>
      <c r="AT82" s="240"/>
      <c r="AU82" s="238"/>
      <c r="AV82" s="240"/>
      <c r="AW82" s="240"/>
      <c r="AX82" s="240"/>
      <c r="AY82" s="240"/>
      <c r="AZ82" s="238"/>
      <c r="BA82" s="240"/>
      <c r="BB82" s="240"/>
      <c r="BC82" s="240"/>
      <c r="BD82" s="240"/>
      <c r="BE82" s="238"/>
      <c r="BF82" s="240"/>
      <c r="BG82" s="240"/>
      <c r="BH82" s="240"/>
      <c r="BI82" s="240"/>
      <c r="BJ82" s="238"/>
      <c r="BK82" s="240"/>
      <c r="BL82" s="240"/>
      <c r="BM82" s="240"/>
      <c r="BN82" s="373"/>
      <c r="BO82" s="370"/>
      <c r="BP82" s="373"/>
      <c r="BQ82" s="373"/>
      <c r="BR82" s="373"/>
      <c r="BS82" s="373"/>
      <c r="BT82" s="370"/>
    </row>
    <row r="83" spans="1:72" s="182" customFormat="1" ht="13">
      <c r="A83" s="676">
        <f t="shared" si="171"/>
        <v>77</v>
      </c>
      <c r="B83" s="216" t="s">
        <v>207</v>
      </c>
      <c r="D83" s="215"/>
      <c r="E83" s="274"/>
      <c r="F83" s="274"/>
      <c r="G83" s="274"/>
      <c r="H83" s="41"/>
      <c r="I83" s="41"/>
      <c r="J83" s="41"/>
      <c r="K83" s="641"/>
      <c r="L83" s="274"/>
      <c r="M83" s="41"/>
      <c r="N83" s="41"/>
      <c r="O83" s="41"/>
      <c r="P83" s="641"/>
      <c r="Q83" s="274"/>
      <c r="R83" s="41"/>
      <c r="S83" s="41"/>
      <c r="T83" s="41"/>
      <c r="U83" s="41"/>
      <c r="V83" s="274"/>
      <c r="W83" s="41"/>
      <c r="X83" s="41"/>
      <c r="Y83" s="41"/>
      <c r="Z83" s="41"/>
      <c r="AA83" s="274"/>
      <c r="AB83" s="41"/>
      <c r="AC83" s="41"/>
      <c r="AD83" s="41"/>
      <c r="AE83" s="41"/>
      <c r="AF83" s="274"/>
      <c r="AG83" s="41"/>
      <c r="AH83" s="41"/>
      <c r="AI83" s="41"/>
      <c r="AJ83" s="41"/>
      <c r="AK83" s="274"/>
      <c r="AL83" s="41"/>
      <c r="AM83" s="41"/>
      <c r="AN83" s="41"/>
      <c r="AO83" s="41"/>
      <c r="AP83" s="274"/>
      <c r="AQ83" s="41"/>
      <c r="AR83" s="41"/>
      <c r="AS83" s="41"/>
      <c r="AT83" s="41"/>
      <c r="AU83" s="274"/>
      <c r="AV83" s="41"/>
      <c r="AW83" s="41"/>
      <c r="AX83" s="41"/>
      <c r="AY83" s="41"/>
      <c r="AZ83" s="274"/>
      <c r="BA83" s="41"/>
      <c r="BB83" s="41"/>
      <c r="BC83" s="41"/>
      <c r="BD83" s="41"/>
      <c r="BE83" s="274"/>
      <c r="BF83" s="41"/>
      <c r="BG83" s="41"/>
      <c r="BH83" s="41"/>
      <c r="BI83" s="41"/>
      <c r="BJ83" s="274"/>
      <c r="BK83" s="41"/>
      <c r="BL83" s="41"/>
      <c r="BM83" s="41"/>
      <c r="BN83" s="409"/>
      <c r="BO83" s="410"/>
      <c r="BP83" s="409"/>
      <c r="BQ83" s="409"/>
      <c r="BR83" s="409"/>
      <c r="BS83" s="409"/>
      <c r="BT83" s="410"/>
    </row>
    <row r="84" spans="1:72" s="182" customFormat="1" ht="13">
      <c r="A84" s="676">
        <f t="shared" si="171"/>
        <v>78</v>
      </c>
      <c r="B84" s="216" t="s">
        <v>208</v>
      </c>
      <c r="D84" s="215"/>
      <c r="E84" s="274"/>
      <c r="F84" s="274"/>
      <c r="G84" s="274"/>
      <c r="H84" s="41"/>
      <c r="I84" s="41"/>
      <c r="J84" s="41"/>
      <c r="K84" s="641"/>
      <c r="L84" s="274"/>
      <c r="M84" s="41"/>
      <c r="N84" s="41"/>
      <c r="O84" s="41"/>
      <c r="P84" s="641"/>
      <c r="Q84" s="274"/>
      <c r="R84" s="41"/>
      <c r="S84" s="41"/>
      <c r="T84" s="41"/>
      <c r="U84" s="41"/>
      <c r="V84" s="274"/>
      <c r="W84" s="41"/>
      <c r="X84" s="41"/>
      <c r="Y84" s="41"/>
      <c r="Z84" s="41"/>
      <c r="AA84" s="274"/>
      <c r="AB84" s="41"/>
      <c r="AC84" s="41"/>
      <c r="AD84" s="41"/>
      <c r="AE84" s="41"/>
      <c r="AF84" s="274"/>
      <c r="AG84" s="41"/>
      <c r="AH84" s="41"/>
      <c r="AI84" s="41"/>
      <c r="AJ84" s="41"/>
      <c r="AK84" s="274"/>
      <c r="AL84" s="41"/>
      <c r="AM84" s="41"/>
      <c r="AN84" s="41"/>
      <c r="AO84" s="41"/>
      <c r="AP84" s="274"/>
      <c r="AQ84" s="41"/>
      <c r="AR84" s="41"/>
      <c r="AS84" s="41"/>
      <c r="AT84" s="41"/>
      <c r="AU84" s="274"/>
      <c r="AV84" s="41"/>
      <c r="AW84" s="41"/>
      <c r="AX84" s="41"/>
      <c r="AY84" s="41"/>
      <c r="AZ84" s="274"/>
      <c r="BA84" s="41"/>
      <c r="BB84" s="41"/>
      <c r="BC84" s="41"/>
      <c r="BD84" s="41"/>
      <c r="BE84" s="274"/>
      <c r="BF84" s="41"/>
      <c r="BG84" s="41"/>
      <c r="BH84" s="41"/>
      <c r="BI84" s="41"/>
      <c r="BJ84" s="274"/>
      <c r="BK84" s="41"/>
      <c r="BL84" s="41"/>
      <c r="BM84" s="41"/>
      <c r="BN84" s="409"/>
      <c r="BO84" s="410"/>
      <c r="BP84" s="409"/>
      <c r="BQ84" s="409"/>
      <c r="BR84" s="409"/>
      <c r="BS84" s="409"/>
      <c r="BT84" s="410"/>
    </row>
    <row r="85" spans="1:72" s="182" customFormat="1" ht="13">
      <c r="A85" s="676">
        <f t="shared" si="171"/>
        <v>79</v>
      </c>
      <c r="B85" s="169" t="s">
        <v>209</v>
      </c>
      <c r="D85" s="212"/>
      <c r="E85" s="171"/>
      <c r="F85" s="171"/>
      <c r="G85" s="171"/>
      <c r="H85" s="40"/>
      <c r="I85" s="40"/>
      <c r="J85" s="40"/>
      <c r="K85" s="641"/>
      <c r="L85" s="171"/>
      <c r="M85" s="40"/>
      <c r="N85" s="40"/>
      <c r="O85" s="40"/>
      <c r="P85" s="641"/>
      <c r="Q85" s="171"/>
      <c r="R85" s="40"/>
      <c r="S85" s="40"/>
      <c r="T85" s="40"/>
      <c r="U85" s="40"/>
      <c r="V85" s="274"/>
      <c r="W85" s="40"/>
      <c r="X85" s="40"/>
      <c r="Y85" s="40"/>
      <c r="Z85" s="40"/>
      <c r="AA85" s="274"/>
      <c r="AB85" s="40"/>
      <c r="AC85" s="40"/>
      <c r="AD85" s="40"/>
      <c r="AE85" s="40"/>
      <c r="AF85" s="274"/>
      <c r="AG85" s="40"/>
      <c r="AH85" s="40"/>
      <c r="AI85" s="40"/>
      <c r="AJ85" s="40"/>
      <c r="AK85" s="274"/>
      <c r="AL85" s="40"/>
      <c r="AM85" s="40"/>
      <c r="AN85" s="40"/>
      <c r="AO85" s="40"/>
      <c r="AP85" s="274"/>
      <c r="AQ85" s="40"/>
      <c r="AR85" s="40"/>
      <c r="AS85" s="40"/>
      <c r="AT85" s="40"/>
      <c r="AU85" s="274"/>
      <c r="AV85" s="40"/>
      <c r="AW85" s="40"/>
      <c r="AX85" s="40"/>
      <c r="AY85" s="40"/>
      <c r="AZ85" s="274"/>
      <c r="BA85" s="40"/>
      <c r="BB85" s="40"/>
      <c r="BC85" s="40"/>
      <c r="BD85" s="40"/>
      <c r="BE85" s="274"/>
      <c r="BF85" s="40"/>
      <c r="BG85" s="40"/>
      <c r="BH85" s="40"/>
      <c r="BI85" s="40"/>
      <c r="BJ85" s="274"/>
      <c r="BK85" s="40"/>
      <c r="BL85" s="40"/>
      <c r="BM85" s="40"/>
      <c r="BN85" s="368"/>
      <c r="BO85" s="410"/>
      <c r="BP85" s="368"/>
      <c r="BQ85" s="368"/>
      <c r="BR85" s="368"/>
      <c r="BS85" s="368"/>
      <c r="BT85" s="410"/>
    </row>
    <row r="86" spans="1:72" s="182" customFormat="1" ht="13">
      <c r="A86" s="676">
        <f t="shared" si="171"/>
        <v>80</v>
      </c>
      <c r="D86" s="217"/>
      <c r="E86" s="237"/>
      <c r="F86" s="237"/>
      <c r="G86" s="237"/>
      <c r="H86" s="40"/>
      <c r="I86" s="40"/>
      <c r="J86" s="40"/>
      <c r="K86" s="41"/>
      <c r="L86" s="237"/>
      <c r="M86" s="40"/>
      <c r="N86" s="40"/>
      <c r="O86" s="40"/>
      <c r="P86" s="41"/>
      <c r="Q86" s="237"/>
      <c r="R86" s="41"/>
      <c r="S86" s="41"/>
      <c r="T86" s="41"/>
      <c r="U86" s="41"/>
      <c r="V86" s="237"/>
      <c r="W86" s="41"/>
      <c r="X86" s="41"/>
      <c r="Y86" s="41"/>
      <c r="Z86" s="41"/>
      <c r="AA86" s="237"/>
      <c r="AB86" s="41"/>
      <c r="AC86" s="41"/>
      <c r="AD86" s="41"/>
      <c r="AE86" s="41"/>
      <c r="AF86" s="237"/>
      <c r="AG86" s="41"/>
      <c r="AH86" s="41"/>
      <c r="AI86" s="41"/>
      <c r="AJ86" s="41"/>
      <c r="AK86" s="237"/>
      <c r="AL86" s="41"/>
      <c r="AM86" s="41"/>
      <c r="AN86" s="41"/>
      <c r="AO86" s="41"/>
      <c r="AP86" s="237"/>
      <c r="AQ86" s="41"/>
      <c r="AR86" s="41"/>
      <c r="AS86" s="41"/>
      <c r="AT86" s="41"/>
      <c r="AU86" s="237"/>
      <c r="AV86" s="41"/>
      <c r="AW86" s="41"/>
      <c r="AX86" s="41"/>
      <c r="AY86" s="41"/>
      <c r="AZ86" s="237"/>
      <c r="BA86" s="41"/>
      <c r="BB86" s="41"/>
      <c r="BC86" s="41"/>
      <c r="BD86" s="41"/>
      <c r="BE86" s="237"/>
      <c r="BF86" s="41"/>
      <c r="BG86" s="41"/>
      <c r="BH86" s="41"/>
      <c r="BI86" s="41"/>
      <c r="BJ86" s="237"/>
      <c r="BK86" s="41"/>
      <c r="BL86" s="41"/>
      <c r="BM86" s="41"/>
      <c r="BN86" s="409"/>
      <c r="BO86" s="369"/>
      <c r="BP86" s="409"/>
      <c r="BQ86" s="409"/>
      <c r="BR86" s="409"/>
      <c r="BS86" s="409"/>
      <c r="BT86" s="369"/>
    </row>
    <row r="87" spans="1:72" s="182" customFormat="1" ht="13">
      <c r="A87" s="676">
        <f t="shared" si="171"/>
        <v>81</v>
      </c>
      <c r="B87" s="216" t="s">
        <v>210</v>
      </c>
      <c r="D87" s="217"/>
      <c r="E87" s="237"/>
      <c r="F87" s="237"/>
      <c r="G87" s="237"/>
      <c r="H87" s="40"/>
      <c r="I87" s="40"/>
      <c r="J87" s="40"/>
      <c r="K87" s="641"/>
      <c r="L87" s="237"/>
      <c r="M87" s="40"/>
      <c r="N87" s="40"/>
      <c r="O87" s="40"/>
      <c r="P87" s="641"/>
      <c r="Q87" s="237"/>
      <c r="R87" s="41"/>
      <c r="S87" s="41"/>
      <c r="T87" s="41"/>
      <c r="U87" s="41"/>
      <c r="V87" s="274"/>
      <c r="W87" s="41"/>
      <c r="X87" s="41"/>
      <c r="Y87" s="41"/>
      <c r="Z87" s="41"/>
      <c r="AA87" s="274"/>
      <c r="AB87" s="41"/>
      <c r="AC87" s="41"/>
      <c r="AD87" s="41"/>
      <c r="AE87" s="41"/>
      <c r="AF87" s="237"/>
      <c r="AG87" s="41"/>
      <c r="AH87" s="41"/>
      <c r="AI87" s="41"/>
      <c r="AJ87" s="41"/>
      <c r="AK87" s="237"/>
      <c r="AL87" s="41"/>
      <c r="AM87" s="41"/>
      <c r="AN87" s="41"/>
      <c r="AO87" s="41"/>
      <c r="AP87" s="237"/>
      <c r="AQ87" s="41"/>
      <c r="AR87" s="41"/>
      <c r="AS87" s="41"/>
      <c r="AT87" s="41"/>
      <c r="AU87" s="237"/>
      <c r="AV87" s="41"/>
      <c r="AW87" s="41"/>
      <c r="AX87" s="41"/>
      <c r="AY87" s="41"/>
      <c r="AZ87" s="237"/>
      <c r="BA87" s="41"/>
      <c r="BB87" s="41"/>
      <c r="BC87" s="41"/>
      <c r="BD87" s="41"/>
      <c r="BE87" s="237"/>
      <c r="BF87" s="41"/>
      <c r="BG87" s="41"/>
      <c r="BH87" s="41"/>
      <c r="BI87" s="41"/>
      <c r="BJ87" s="237"/>
      <c r="BK87" s="41"/>
      <c r="BL87" s="41"/>
      <c r="BM87" s="41"/>
      <c r="BN87" s="409"/>
      <c r="BO87" s="369"/>
      <c r="BP87" s="409"/>
      <c r="BQ87" s="409"/>
      <c r="BR87" s="409"/>
      <c r="BS87" s="409"/>
      <c r="BT87" s="369"/>
    </row>
    <row r="88" spans="1:72" s="182" customFormat="1" ht="13">
      <c r="A88" s="676">
        <f t="shared" si="171"/>
        <v>82</v>
      </c>
      <c r="B88" s="216" t="s">
        <v>211</v>
      </c>
      <c r="D88" s="217"/>
      <c r="E88" s="237"/>
      <c r="F88" s="237"/>
      <c r="G88" s="237"/>
      <c r="H88" s="40"/>
      <c r="I88" s="40"/>
      <c r="J88" s="40"/>
      <c r="K88" s="641"/>
      <c r="L88" s="237"/>
      <c r="M88" s="40"/>
      <c r="N88" s="40"/>
      <c r="O88" s="40"/>
      <c r="P88" s="641"/>
      <c r="Q88" s="237"/>
      <c r="R88" s="41"/>
      <c r="S88" s="41"/>
      <c r="T88" s="41"/>
      <c r="U88" s="41"/>
      <c r="V88" s="237"/>
      <c r="W88" s="41"/>
      <c r="X88" s="41"/>
      <c r="Y88" s="41"/>
      <c r="Z88" s="41"/>
      <c r="AA88" s="237"/>
      <c r="AB88" s="41"/>
      <c r="AC88" s="41"/>
      <c r="AD88" s="41"/>
      <c r="AE88" s="41"/>
      <c r="AF88" s="237"/>
      <c r="AG88" s="41"/>
      <c r="AH88" s="41"/>
      <c r="AI88" s="41"/>
      <c r="AJ88" s="41"/>
      <c r="AK88" s="237"/>
      <c r="AL88" s="41"/>
      <c r="AM88" s="41"/>
      <c r="AN88" s="41"/>
      <c r="AO88" s="41"/>
      <c r="AP88" s="237"/>
      <c r="AQ88" s="41"/>
      <c r="AR88" s="41"/>
      <c r="AS88" s="41"/>
      <c r="AT88" s="41"/>
      <c r="AU88" s="237"/>
      <c r="AV88" s="41"/>
      <c r="AW88" s="41"/>
      <c r="AX88" s="41"/>
      <c r="AY88" s="41"/>
      <c r="AZ88" s="237"/>
      <c r="BA88" s="41"/>
      <c r="BB88" s="41"/>
      <c r="BC88" s="41"/>
      <c r="BD88" s="41"/>
      <c r="BE88" s="237"/>
      <c r="BF88" s="41"/>
      <c r="BG88" s="41"/>
      <c r="BH88" s="41"/>
      <c r="BI88" s="41"/>
      <c r="BJ88" s="237"/>
      <c r="BK88" s="41"/>
      <c r="BL88" s="41"/>
      <c r="BM88" s="41"/>
      <c r="BN88" s="409"/>
      <c r="BO88" s="369"/>
      <c r="BP88" s="409"/>
      <c r="BQ88" s="409"/>
      <c r="BR88" s="409"/>
      <c r="BS88" s="409"/>
      <c r="BT88" s="369"/>
    </row>
    <row r="89" spans="1:72" s="182" customFormat="1" ht="13">
      <c r="A89" s="676">
        <f t="shared" si="171"/>
        <v>83</v>
      </c>
      <c r="D89" s="217"/>
      <c r="E89" s="237"/>
      <c r="F89" s="237"/>
      <c r="G89" s="237"/>
      <c r="H89" s="40"/>
      <c r="I89" s="40"/>
      <c r="J89" s="40"/>
      <c r="K89" s="41"/>
      <c r="L89" s="237"/>
      <c r="M89" s="40"/>
      <c r="N89" s="40"/>
      <c r="O89" s="40"/>
      <c r="P89" s="41"/>
      <c r="Q89" s="237"/>
      <c r="R89" s="41"/>
      <c r="S89" s="41"/>
      <c r="T89" s="41"/>
      <c r="U89" s="41"/>
      <c r="V89" s="237"/>
      <c r="W89" s="41"/>
      <c r="X89" s="41"/>
      <c r="Y89" s="41"/>
      <c r="Z89" s="41"/>
      <c r="AA89" s="237"/>
      <c r="AB89" s="41"/>
      <c r="AC89" s="41"/>
      <c r="AD89" s="41"/>
      <c r="AE89" s="41"/>
      <c r="AF89" s="237"/>
      <c r="AG89" s="41"/>
      <c r="AH89" s="41"/>
      <c r="AI89" s="41"/>
      <c r="AJ89" s="41"/>
      <c r="AK89" s="237"/>
      <c r="AL89" s="41"/>
      <c r="AM89" s="41"/>
      <c r="AN89" s="41"/>
      <c r="AO89" s="41"/>
      <c r="AP89" s="237"/>
      <c r="AQ89" s="41"/>
      <c r="AR89" s="41"/>
      <c r="AS89" s="41"/>
      <c r="AT89" s="41"/>
      <c r="AU89" s="237"/>
      <c r="AV89" s="41"/>
      <c r="AW89" s="41"/>
      <c r="AX89" s="41"/>
      <c r="AY89" s="41"/>
      <c r="AZ89" s="237"/>
      <c r="BA89" s="41"/>
      <c r="BB89" s="41"/>
      <c r="BC89" s="41"/>
      <c r="BD89" s="41"/>
      <c r="BE89" s="237"/>
      <c r="BF89" s="41"/>
      <c r="BG89" s="41"/>
      <c r="BH89" s="41"/>
      <c r="BI89" s="41"/>
      <c r="BJ89" s="237"/>
      <c r="BK89" s="41"/>
      <c r="BL89" s="41"/>
      <c r="BM89" s="41"/>
      <c r="BN89" s="409"/>
      <c r="BO89" s="369"/>
      <c r="BP89" s="409"/>
      <c r="BQ89" s="409"/>
      <c r="BR89" s="409"/>
      <c r="BS89" s="409"/>
      <c r="BT89" s="369"/>
    </row>
    <row r="90" spans="1:72" s="182" customFormat="1" ht="13">
      <c r="A90" s="676">
        <f t="shared" si="171"/>
        <v>84</v>
      </c>
      <c r="B90" s="183" t="s">
        <v>212</v>
      </c>
      <c r="D90" s="218"/>
      <c r="E90" s="237">
        <f t="shared" ref="E90:P90" si="190">E80-E85+E88+E83+E84+E87</f>
        <v>0</v>
      </c>
      <c r="F90" s="237">
        <f t="shared" si="190"/>
        <v>0</v>
      </c>
      <c r="G90" s="237">
        <f t="shared" si="190"/>
        <v>0</v>
      </c>
      <c r="H90" s="40">
        <f t="shared" si="190"/>
        <v>0</v>
      </c>
      <c r="I90" s="40">
        <f t="shared" si="190"/>
        <v>0</v>
      </c>
      <c r="J90" s="40">
        <f t="shared" si="190"/>
        <v>0</v>
      </c>
      <c r="K90" s="40">
        <f>K80-K85+K88+K83+K84+K87</f>
        <v>0</v>
      </c>
      <c r="L90" s="237">
        <f t="shared" si="190"/>
        <v>0</v>
      </c>
      <c r="M90" s="40">
        <f>M80-M85+M88+M83+M84+M87</f>
        <v>0</v>
      </c>
      <c r="N90" s="40">
        <f t="shared" si="190"/>
        <v>0</v>
      </c>
      <c r="O90" s="40">
        <f t="shared" si="190"/>
        <v>0</v>
      </c>
      <c r="P90" s="40">
        <f t="shared" si="190"/>
        <v>0</v>
      </c>
      <c r="Q90" s="237">
        <f>Q80-Q85+Q88+Q83+Q84+Q87</f>
        <v>0</v>
      </c>
      <c r="R90" s="40">
        <f>R80-R85+R88+R83+R84+R87</f>
        <v>0</v>
      </c>
      <c r="S90" s="40">
        <f t="shared" ref="S90:AJ90" si="191">S80-S85+S88+S83+S84+S87</f>
        <v>0</v>
      </c>
      <c r="T90" s="40">
        <f t="shared" si="191"/>
        <v>0</v>
      </c>
      <c r="U90" s="40">
        <f t="shared" si="191"/>
        <v>0</v>
      </c>
      <c r="V90" s="237">
        <f t="shared" si="191"/>
        <v>0</v>
      </c>
      <c r="W90" s="40">
        <f t="shared" si="191"/>
        <v>0</v>
      </c>
      <c r="X90" s="40">
        <f t="shared" ref="X90:AD90" si="192">X80-X85+X88+X83+X84+X87</f>
        <v>0</v>
      </c>
      <c r="Y90" s="40">
        <f t="shared" si="192"/>
        <v>0</v>
      </c>
      <c r="Z90" s="40">
        <f t="shared" si="192"/>
        <v>0</v>
      </c>
      <c r="AA90" s="237">
        <f t="shared" si="192"/>
        <v>0</v>
      </c>
      <c r="AB90" s="40">
        <f t="shared" si="192"/>
        <v>0</v>
      </c>
      <c r="AC90" s="40">
        <f t="shared" si="192"/>
        <v>0</v>
      </c>
      <c r="AD90" s="40">
        <f t="shared" si="192"/>
        <v>0</v>
      </c>
      <c r="AE90" s="40">
        <f>AE80-AE85+AE88+AE83+AE84+AE87</f>
        <v>0</v>
      </c>
      <c r="AF90" s="237">
        <f t="shared" si="191"/>
        <v>0</v>
      </c>
      <c r="AG90" s="40">
        <f t="shared" si="191"/>
        <v>0</v>
      </c>
      <c r="AH90" s="40">
        <f t="shared" si="191"/>
        <v>0</v>
      </c>
      <c r="AI90" s="40">
        <f t="shared" si="191"/>
        <v>0</v>
      </c>
      <c r="AJ90" s="40">
        <f t="shared" si="191"/>
        <v>0</v>
      </c>
      <c r="AK90" s="237">
        <f t="shared" ref="AK90:AP90" si="193">AK80-AK85+AK88+AK83+AK84+AK87</f>
        <v>0</v>
      </c>
      <c r="AL90" s="40">
        <f t="shared" si="193"/>
        <v>0</v>
      </c>
      <c r="AM90" s="40">
        <f t="shared" si="193"/>
        <v>0</v>
      </c>
      <c r="AN90" s="40">
        <f t="shared" si="193"/>
        <v>0</v>
      </c>
      <c r="AO90" s="40">
        <f t="shared" si="193"/>
        <v>0</v>
      </c>
      <c r="AP90" s="237">
        <f t="shared" si="193"/>
        <v>0</v>
      </c>
      <c r="AQ90" s="40">
        <f>AQ80-AQ85+AQ88+AQ83+AQ84+AQ87</f>
        <v>0</v>
      </c>
      <c r="AR90" s="40">
        <f>AR80-AR85+AR88+AR83+AR84+AR87</f>
        <v>0</v>
      </c>
      <c r="AS90" s="40">
        <f>AS80-AS85+AS88+AS83+AS84+AS87</f>
        <v>0</v>
      </c>
      <c r="AT90" s="40">
        <f>AT80-AT85+AT88+AT83+AT84+AT87</f>
        <v>0</v>
      </c>
      <c r="AU90" s="237">
        <f>AU80-AU85+AU88+AU83+AU84+AU87</f>
        <v>0</v>
      </c>
      <c r="AV90" s="40">
        <f t="shared" ref="AV90:BA90" si="194">AV80-AV85+AV88+AV83+AV84+AV87</f>
        <v>0</v>
      </c>
      <c r="AW90" s="40">
        <f t="shared" si="194"/>
        <v>0</v>
      </c>
      <c r="AX90" s="40">
        <f t="shared" si="194"/>
        <v>0</v>
      </c>
      <c r="AY90" s="40">
        <f t="shared" si="194"/>
        <v>0</v>
      </c>
      <c r="AZ90" s="237">
        <f t="shared" si="194"/>
        <v>0</v>
      </c>
      <c r="BA90" s="40">
        <f t="shared" si="194"/>
        <v>0</v>
      </c>
      <c r="BB90" s="40">
        <f t="shared" ref="BB90:BG90" si="195">BB80-BB85+BB88+BB83+BB84+BB87</f>
        <v>0</v>
      </c>
      <c r="BC90" s="40">
        <f t="shared" si="195"/>
        <v>0</v>
      </c>
      <c r="BD90" s="40">
        <f t="shared" si="195"/>
        <v>0</v>
      </c>
      <c r="BE90" s="237">
        <f t="shared" si="195"/>
        <v>0</v>
      </c>
      <c r="BF90" s="40">
        <f t="shared" si="195"/>
        <v>0</v>
      </c>
      <c r="BG90" s="40">
        <f t="shared" si="195"/>
        <v>0</v>
      </c>
      <c r="BH90" s="40">
        <f t="shared" ref="BH90:BT90" si="196">BH80-BH85+BH88+BH83+BH84+BH87</f>
        <v>0</v>
      </c>
      <c r="BI90" s="40">
        <f t="shared" si="196"/>
        <v>0</v>
      </c>
      <c r="BJ90" s="237">
        <f t="shared" si="196"/>
        <v>0</v>
      </c>
      <c r="BK90" s="40">
        <f t="shared" si="196"/>
        <v>0</v>
      </c>
      <c r="BL90" s="40">
        <f t="shared" si="196"/>
        <v>0</v>
      </c>
      <c r="BM90" s="40">
        <f>BM80-BM85+BM88+BM83+BM84+BM87</f>
        <v>0</v>
      </c>
      <c r="BN90" s="368">
        <f t="shared" si="196"/>
        <v>0</v>
      </c>
      <c r="BO90" s="369">
        <f t="shared" si="196"/>
        <v>0</v>
      </c>
      <c r="BP90" s="368">
        <f t="shared" si="196"/>
        <v>0</v>
      </c>
      <c r="BQ90" s="368">
        <f t="shared" si="196"/>
        <v>0</v>
      </c>
      <c r="BR90" s="368">
        <f t="shared" si="196"/>
        <v>0</v>
      </c>
      <c r="BS90" s="368">
        <f t="shared" si="196"/>
        <v>0</v>
      </c>
      <c r="BT90" s="369">
        <f t="shared" si="196"/>
        <v>0</v>
      </c>
    </row>
    <row r="91" spans="1:72" s="182" customFormat="1" ht="13">
      <c r="A91" s="676">
        <f t="shared" si="171"/>
        <v>85</v>
      </c>
      <c r="B91" s="169" t="s">
        <v>213</v>
      </c>
      <c r="D91" s="217"/>
      <c r="E91" s="171"/>
      <c r="F91" s="171"/>
      <c r="G91" s="171"/>
      <c r="H91" s="40"/>
      <c r="I91" s="40"/>
      <c r="J91" s="40"/>
      <c r="K91" s="641"/>
      <c r="L91" s="171"/>
      <c r="M91" s="40"/>
      <c r="N91" s="40"/>
      <c r="O91" s="40"/>
      <c r="P91" s="641"/>
      <c r="Q91" s="171"/>
      <c r="R91" s="40"/>
      <c r="S91" s="40"/>
      <c r="T91" s="40"/>
      <c r="U91" s="40"/>
      <c r="V91" s="171"/>
      <c r="W91" s="40"/>
      <c r="X91" s="40"/>
      <c r="Y91" s="40"/>
      <c r="Z91" s="40"/>
      <c r="AA91" s="171"/>
      <c r="AB91" s="40"/>
      <c r="AC91" s="40"/>
      <c r="AD91" s="40"/>
      <c r="AE91" s="40"/>
      <c r="AF91" s="171">
        <f>SUM(AB91:AE91)</f>
        <v>0</v>
      </c>
      <c r="AG91" s="40"/>
      <c r="AH91" s="40"/>
      <c r="AI91" s="40"/>
      <c r="AJ91" s="40"/>
      <c r="AK91" s="171">
        <f>SUM(AG91:AJ91)</f>
        <v>0</v>
      </c>
      <c r="AL91" s="40"/>
      <c r="AM91" s="40"/>
      <c r="AN91" s="40"/>
      <c r="AO91" s="40"/>
      <c r="AP91" s="171">
        <f>SUM(AL91:AO91)</f>
        <v>0</v>
      </c>
      <c r="AQ91" s="40"/>
      <c r="AR91" s="40"/>
      <c r="AS91" s="40"/>
      <c r="AT91" s="40"/>
      <c r="AU91" s="171">
        <f>SUM(AQ91:AT91)</f>
        <v>0</v>
      </c>
      <c r="AV91" s="40"/>
      <c r="AW91" s="40"/>
      <c r="AX91" s="40"/>
      <c r="AY91" s="40"/>
      <c r="AZ91" s="171">
        <f>SUM(AV91:AY91)</f>
        <v>0</v>
      </c>
      <c r="BA91" s="40"/>
      <c r="BB91" s="40"/>
      <c r="BC91" s="40"/>
      <c r="BD91" s="40"/>
      <c r="BE91" s="171">
        <f>SUM(BA91:BD91)</f>
        <v>0</v>
      </c>
      <c r="BF91" s="40"/>
      <c r="BG91" s="40"/>
      <c r="BH91" s="40"/>
      <c r="BI91" s="40"/>
      <c r="BJ91" s="171">
        <f>SUM(BF91:BI91)</f>
        <v>0</v>
      </c>
      <c r="BK91" s="40"/>
      <c r="BL91" s="40"/>
      <c r="BM91" s="40"/>
      <c r="BN91" s="368" t="e">
        <f>BN255*BN90</f>
        <v>#DIV/0!</v>
      </c>
      <c r="BO91" s="375" t="e">
        <f>SUM(BK91:BN91)</f>
        <v>#DIV/0!</v>
      </c>
      <c r="BP91" s="368" t="e">
        <f>BP255*BP90</f>
        <v>#DIV/0!</v>
      </c>
      <c r="BQ91" s="368" t="e">
        <f>BQ255*BQ90</f>
        <v>#DIV/0!</v>
      </c>
      <c r="BR91" s="368" t="e">
        <f>BR255*BR90</f>
        <v>#DIV/0!</v>
      </c>
      <c r="BS91" s="368" t="e">
        <f>BS255*BS90</f>
        <v>#DIV/0!</v>
      </c>
      <c r="BT91" s="375" t="e">
        <f>SUM(BP91:BS91)</f>
        <v>#DIV/0!</v>
      </c>
    </row>
    <row r="92" spans="1:72" s="182" customFormat="1" ht="13">
      <c r="A92" s="676">
        <f t="shared" si="171"/>
        <v>86</v>
      </c>
      <c r="B92" s="183" t="s">
        <v>214</v>
      </c>
      <c r="D92" s="218"/>
      <c r="E92" s="237">
        <f t="shared" ref="E92:AB92" si="197">E90-E91</f>
        <v>0</v>
      </c>
      <c r="F92" s="237">
        <f t="shared" si="197"/>
        <v>0</v>
      </c>
      <c r="G92" s="237">
        <f t="shared" si="197"/>
        <v>0</v>
      </c>
      <c r="H92" s="40">
        <f t="shared" si="197"/>
        <v>0</v>
      </c>
      <c r="I92" s="40">
        <f t="shared" si="197"/>
        <v>0</v>
      </c>
      <c r="J92" s="40">
        <f t="shared" si="197"/>
        <v>0</v>
      </c>
      <c r="K92" s="40">
        <f t="shared" si="197"/>
        <v>0</v>
      </c>
      <c r="L92" s="237">
        <f t="shared" si="197"/>
        <v>0</v>
      </c>
      <c r="M92" s="40">
        <f t="shared" si="197"/>
        <v>0</v>
      </c>
      <c r="N92" s="40">
        <f t="shared" si="197"/>
        <v>0</v>
      </c>
      <c r="O92" s="40">
        <f t="shared" si="197"/>
        <v>0</v>
      </c>
      <c r="P92" s="40">
        <f t="shared" si="197"/>
        <v>0</v>
      </c>
      <c r="Q92" s="237">
        <f t="shared" si="197"/>
        <v>0</v>
      </c>
      <c r="R92" s="40">
        <f t="shared" si="197"/>
        <v>0</v>
      </c>
      <c r="S92" s="40">
        <f t="shared" si="197"/>
        <v>0</v>
      </c>
      <c r="T92" s="40">
        <f t="shared" si="197"/>
        <v>0</v>
      </c>
      <c r="U92" s="40">
        <f t="shared" si="197"/>
        <v>0</v>
      </c>
      <c r="V92" s="237">
        <f t="shared" si="197"/>
        <v>0</v>
      </c>
      <c r="W92" s="40">
        <f t="shared" si="197"/>
        <v>0</v>
      </c>
      <c r="X92" s="40">
        <f>X90-X91</f>
        <v>0</v>
      </c>
      <c r="Y92" s="40">
        <f>Y90-Y91</f>
        <v>0</v>
      </c>
      <c r="Z92" s="40">
        <f t="shared" si="197"/>
        <v>0</v>
      </c>
      <c r="AA92" s="237">
        <f t="shared" si="197"/>
        <v>0</v>
      </c>
      <c r="AB92" s="40">
        <f t="shared" si="197"/>
        <v>0</v>
      </c>
      <c r="AC92" s="40">
        <f t="shared" ref="AC92:AQ92" si="198">AC90-AC91</f>
        <v>0</v>
      </c>
      <c r="AD92" s="40">
        <f t="shared" si="198"/>
        <v>0</v>
      </c>
      <c r="AE92" s="40">
        <f t="shared" si="198"/>
        <v>0</v>
      </c>
      <c r="AF92" s="237">
        <f t="shared" si="198"/>
        <v>0</v>
      </c>
      <c r="AG92" s="40">
        <f t="shared" si="198"/>
        <v>0</v>
      </c>
      <c r="AH92" s="40">
        <f t="shared" si="198"/>
        <v>0</v>
      </c>
      <c r="AI92" s="40">
        <f t="shared" si="198"/>
        <v>0</v>
      </c>
      <c r="AJ92" s="40">
        <f t="shared" si="198"/>
        <v>0</v>
      </c>
      <c r="AK92" s="237">
        <f t="shared" si="198"/>
        <v>0</v>
      </c>
      <c r="AL92" s="40">
        <f t="shared" si="198"/>
        <v>0</v>
      </c>
      <c r="AM92" s="40">
        <f t="shared" si="198"/>
        <v>0</v>
      </c>
      <c r="AN92" s="40">
        <f t="shared" si="198"/>
        <v>0</v>
      </c>
      <c r="AO92" s="40">
        <f t="shared" si="198"/>
        <v>0</v>
      </c>
      <c r="AP92" s="237">
        <f t="shared" si="198"/>
        <v>0</v>
      </c>
      <c r="AQ92" s="40">
        <f t="shared" si="198"/>
        <v>0</v>
      </c>
      <c r="AR92" s="40">
        <f t="shared" ref="AR92:AW92" si="199">AR90-AR91</f>
        <v>0</v>
      </c>
      <c r="AS92" s="40">
        <f t="shared" si="199"/>
        <v>0</v>
      </c>
      <c r="AT92" s="40">
        <f t="shared" si="199"/>
        <v>0</v>
      </c>
      <c r="AU92" s="237">
        <f t="shared" si="199"/>
        <v>0</v>
      </c>
      <c r="AV92" s="40">
        <f t="shared" si="199"/>
        <v>0</v>
      </c>
      <c r="AW92" s="40">
        <f t="shared" si="199"/>
        <v>0</v>
      </c>
      <c r="AX92" s="40">
        <f t="shared" ref="AX92:BG92" si="200">AX90-AX91</f>
        <v>0</v>
      </c>
      <c r="AY92" s="40">
        <f t="shared" si="200"/>
        <v>0</v>
      </c>
      <c r="AZ92" s="237">
        <f t="shared" si="200"/>
        <v>0</v>
      </c>
      <c r="BA92" s="40">
        <f t="shared" si="200"/>
        <v>0</v>
      </c>
      <c r="BB92" s="40">
        <f t="shared" si="200"/>
        <v>0</v>
      </c>
      <c r="BC92" s="40">
        <f t="shared" si="200"/>
        <v>0</v>
      </c>
      <c r="BD92" s="40">
        <f t="shared" si="200"/>
        <v>0</v>
      </c>
      <c r="BE92" s="237">
        <f t="shared" si="200"/>
        <v>0</v>
      </c>
      <c r="BF92" s="40">
        <f t="shared" si="200"/>
        <v>0</v>
      </c>
      <c r="BG92" s="40">
        <f t="shared" si="200"/>
        <v>0</v>
      </c>
      <c r="BH92" s="40">
        <f t="shared" ref="BH92:BT92" si="201">BH90-BH91</f>
        <v>0</v>
      </c>
      <c r="BI92" s="40">
        <f t="shared" si="201"/>
        <v>0</v>
      </c>
      <c r="BJ92" s="237">
        <f t="shared" si="201"/>
        <v>0</v>
      </c>
      <c r="BK92" s="40">
        <f t="shared" si="201"/>
        <v>0</v>
      </c>
      <c r="BL92" s="40">
        <f t="shared" si="201"/>
        <v>0</v>
      </c>
      <c r="BM92" s="40">
        <f>BM90-BM91</f>
        <v>0</v>
      </c>
      <c r="BN92" s="368" t="e">
        <f t="shared" si="201"/>
        <v>#DIV/0!</v>
      </c>
      <c r="BO92" s="369" t="e">
        <f t="shared" si="201"/>
        <v>#DIV/0!</v>
      </c>
      <c r="BP92" s="368" t="e">
        <f t="shared" si="201"/>
        <v>#DIV/0!</v>
      </c>
      <c r="BQ92" s="368" t="e">
        <f t="shared" si="201"/>
        <v>#DIV/0!</v>
      </c>
      <c r="BR92" s="368" t="e">
        <f t="shared" si="201"/>
        <v>#DIV/0!</v>
      </c>
      <c r="BS92" s="368" t="e">
        <f t="shared" si="201"/>
        <v>#DIV/0!</v>
      </c>
      <c r="BT92" s="369" t="e">
        <f t="shared" si="201"/>
        <v>#DIV/0!</v>
      </c>
    </row>
    <row r="93" spans="1:72" s="182" customFormat="1" ht="13">
      <c r="A93" s="676">
        <f t="shared" si="171"/>
        <v>87</v>
      </c>
      <c r="B93" s="169" t="s">
        <v>215</v>
      </c>
      <c r="D93" s="218"/>
      <c r="E93" s="237"/>
      <c r="F93" s="237"/>
      <c r="G93" s="237"/>
      <c r="H93" s="40"/>
      <c r="I93" s="40"/>
      <c r="J93" s="40">
        <v>0</v>
      </c>
      <c r="K93" s="641">
        <f>L93-I93-J93-H93</f>
        <v>0</v>
      </c>
      <c r="L93" s="237">
        <v>0</v>
      </c>
      <c r="M93" s="40"/>
      <c r="N93" s="40"/>
      <c r="O93" s="40"/>
      <c r="P93" s="641">
        <f>Q93-N93-O93-M93</f>
        <v>0</v>
      </c>
      <c r="Q93" s="237">
        <v>0</v>
      </c>
      <c r="R93" s="40"/>
      <c r="S93" s="40"/>
      <c r="T93" s="40"/>
      <c r="U93" s="40">
        <v>0</v>
      </c>
      <c r="V93" s="171">
        <f>SUM(R93:U93)</f>
        <v>0</v>
      </c>
      <c r="W93" s="40">
        <v>0</v>
      </c>
      <c r="X93" s="40"/>
      <c r="Y93" s="40"/>
      <c r="Z93" s="40">
        <v>0</v>
      </c>
      <c r="AA93" s="171">
        <f>SUM(W93:Z93)</f>
        <v>0</v>
      </c>
      <c r="AB93" s="40">
        <v>0</v>
      </c>
      <c r="AC93" s="40"/>
      <c r="AD93" s="40"/>
      <c r="AE93" s="40">
        <v>0</v>
      </c>
      <c r="AF93" s="171">
        <f>SUM(AB93:AE93)</f>
        <v>0</v>
      </c>
      <c r="AG93" s="40">
        <v>0</v>
      </c>
      <c r="AH93" s="40"/>
      <c r="AI93" s="40"/>
      <c r="AJ93" s="40">
        <v>0</v>
      </c>
      <c r="AK93" s="171">
        <f>SUM(AG93:AJ93)</f>
        <v>0</v>
      </c>
      <c r="AL93" s="40">
        <v>0</v>
      </c>
      <c r="AM93" s="40"/>
      <c r="AN93" s="40"/>
      <c r="AO93" s="40">
        <v>0</v>
      </c>
      <c r="AP93" s="171">
        <f>SUM(AL93:AO93)</f>
        <v>0</v>
      </c>
      <c r="AQ93" s="40">
        <v>0</v>
      </c>
      <c r="AR93" s="40"/>
      <c r="AS93" s="40"/>
      <c r="AT93" s="40">
        <v>0</v>
      </c>
      <c r="AU93" s="171">
        <f>SUM(AQ93:AT93)</f>
        <v>0</v>
      </c>
      <c r="AV93" s="40">
        <v>0</v>
      </c>
      <c r="AW93" s="40"/>
      <c r="AX93" s="40"/>
      <c r="AY93" s="40">
        <v>0</v>
      </c>
      <c r="AZ93" s="171">
        <f>SUM(AV93:AY93)</f>
        <v>0</v>
      </c>
      <c r="BA93" s="40">
        <v>0</v>
      </c>
      <c r="BB93" s="40"/>
      <c r="BC93" s="40"/>
      <c r="BD93" s="40">
        <v>0</v>
      </c>
      <c r="BE93" s="171">
        <f>SUM(BA93:BD93)</f>
        <v>0</v>
      </c>
      <c r="BF93" s="40">
        <v>0</v>
      </c>
      <c r="BG93" s="40"/>
      <c r="BH93" s="40"/>
      <c r="BI93" s="40">
        <v>0</v>
      </c>
      <c r="BJ93" s="171">
        <f>SUM(BF93:BI93)</f>
        <v>0</v>
      </c>
      <c r="BK93" s="40">
        <v>0</v>
      </c>
      <c r="BL93" s="40"/>
      <c r="BM93" s="40"/>
      <c r="BN93" s="368">
        <v>0</v>
      </c>
      <c r="BO93" s="375">
        <f>SUM(BK93:BN93)</f>
        <v>0</v>
      </c>
      <c r="BP93" s="368">
        <v>0</v>
      </c>
      <c r="BQ93" s="368">
        <v>0</v>
      </c>
      <c r="BR93" s="368">
        <v>0</v>
      </c>
      <c r="BS93" s="368">
        <v>0</v>
      </c>
      <c r="BT93" s="375">
        <f>SUM(BP93:BS93)</f>
        <v>0</v>
      </c>
    </row>
    <row r="94" spans="1:72" s="206" customFormat="1" ht="13">
      <c r="A94" s="676">
        <f t="shared" si="171"/>
        <v>88</v>
      </c>
      <c r="B94" s="183" t="s">
        <v>216</v>
      </c>
      <c r="C94" s="182"/>
      <c r="D94" s="218"/>
      <c r="E94" s="237">
        <f>SUM(E92:E93)</f>
        <v>0</v>
      </c>
      <c r="F94" s="237">
        <f>SUM(F92:F93)</f>
        <v>0</v>
      </c>
      <c r="G94" s="237">
        <f>SUM(G92:G93)</f>
        <v>0</v>
      </c>
      <c r="H94" s="40">
        <f>H93+H92</f>
        <v>0</v>
      </c>
      <c r="I94" s="40">
        <f>I93+I92</f>
        <v>0</v>
      </c>
      <c r="J94" s="40">
        <f>J93+J92</f>
        <v>0</v>
      </c>
      <c r="K94" s="40">
        <f>K93+K92</f>
        <v>0</v>
      </c>
      <c r="L94" s="237">
        <f>SUM(L92:L93)</f>
        <v>0</v>
      </c>
      <c r="M94" s="40">
        <f>M93+M92</f>
        <v>0</v>
      </c>
      <c r="N94" s="40">
        <f>N93+N92</f>
        <v>0</v>
      </c>
      <c r="O94" s="40">
        <f>O93+O92</f>
        <v>0</v>
      </c>
      <c r="P94" s="40">
        <f>P93+P92</f>
        <v>0</v>
      </c>
      <c r="Q94" s="237">
        <f>SUM(Q92:Q93)</f>
        <v>0</v>
      </c>
      <c r="R94" s="275">
        <f>R93+R92</f>
        <v>0</v>
      </c>
      <c r="S94" s="275">
        <f>S93+S92</f>
        <v>0</v>
      </c>
      <c r="T94" s="275">
        <f>T93+T92</f>
        <v>0</v>
      </c>
      <c r="U94" s="275">
        <f>U93+U92</f>
        <v>0</v>
      </c>
      <c r="V94" s="237">
        <f>V92+V93</f>
        <v>0</v>
      </c>
      <c r="W94" s="275">
        <f>W93+W92</f>
        <v>0</v>
      </c>
      <c r="X94" s="275">
        <f>X93+X92</f>
        <v>0</v>
      </c>
      <c r="Y94" s="275">
        <f>Y93+Y92</f>
        <v>0</v>
      </c>
      <c r="Z94" s="275">
        <f>Z93+Z92</f>
        <v>0</v>
      </c>
      <c r="AA94" s="237">
        <f>AA92+AA93</f>
        <v>0</v>
      </c>
      <c r="AB94" s="275">
        <f>AB93+AB92</f>
        <v>0</v>
      </c>
      <c r="AC94" s="275">
        <f>AC93+AC92</f>
        <v>0</v>
      </c>
      <c r="AD94" s="275">
        <f>AD93+AD92</f>
        <v>0</v>
      </c>
      <c r="AE94" s="275">
        <f>AE93+AE92</f>
        <v>0</v>
      </c>
      <c r="AF94" s="237">
        <f>AF92+AF93</f>
        <v>0</v>
      </c>
      <c r="AG94" s="275">
        <f>AG93+AG92</f>
        <v>0</v>
      </c>
      <c r="AH94" s="275">
        <f>AH93+AH92</f>
        <v>0</v>
      </c>
      <c r="AI94" s="275">
        <f>AI93+AI92</f>
        <v>0</v>
      </c>
      <c r="AJ94" s="275">
        <f>AJ93+AJ92</f>
        <v>0</v>
      </c>
      <c r="AK94" s="237">
        <f>AK92+AK93</f>
        <v>0</v>
      </c>
      <c r="AL94" s="275">
        <f>AL93+AL92</f>
        <v>0</v>
      </c>
      <c r="AM94" s="275">
        <f>AM93+AM92</f>
        <v>0</v>
      </c>
      <c r="AN94" s="275">
        <f>AN93+AN92</f>
        <v>0</v>
      </c>
      <c r="AO94" s="275">
        <f>AO93+AO92</f>
        <v>0</v>
      </c>
      <c r="AP94" s="237">
        <f>AP92+AP93</f>
        <v>0</v>
      </c>
      <c r="AQ94" s="275">
        <f>AQ93+AQ92</f>
        <v>0</v>
      </c>
      <c r="AR94" s="275">
        <f>AR93+AR92</f>
        <v>0</v>
      </c>
      <c r="AS94" s="275">
        <f>AS93+AS92</f>
        <v>0</v>
      </c>
      <c r="AT94" s="275">
        <f>AT93+AT92</f>
        <v>0</v>
      </c>
      <c r="AU94" s="237">
        <f>AU92+AU93</f>
        <v>0</v>
      </c>
      <c r="AV94" s="275">
        <f>AV93+AV92</f>
        <v>0</v>
      </c>
      <c r="AW94" s="275">
        <f>AW93+AW92</f>
        <v>0</v>
      </c>
      <c r="AX94" s="275">
        <f>AX93+AX92</f>
        <v>0</v>
      </c>
      <c r="AY94" s="275">
        <f>AY93+AY92</f>
        <v>0</v>
      </c>
      <c r="AZ94" s="237">
        <f>AZ92+AZ93</f>
        <v>0</v>
      </c>
      <c r="BA94" s="275">
        <f>BA93+BA92</f>
        <v>0</v>
      </c>
      <c r="BB94" s="275">
        <f>BB93+BB92</f>
        <v>0</v>
      </c>
      <c r="BC94" s="275">
        <f>BC93+BC92</f>
        <v>0</v>
      </c>
      <c r="BD94" s="275">
        <f>BD93+BD92</f>
        <v>0</v>
      </c>
      <c r="BE94" s="237">
        <f>BE92+BE93</f>
        <v>0</v>
      </c>
      <c r="BF94" s="275">
        <f>BF93+BF92</f>
        <v>0</v>
      </c>
      <c r="BG94" s="275">
        <f>BG93+BG92</f>
        <v>0</v>
      </c>
      <c r="BH94" s="275">
        <f>BH93+BH92</f>
        <v>0</v>
      </c>
      <c r="BI94" s="275">
        <f>BI93+BI92</f>
        <v>0</v>
      </c>
      <c r="BJ94" s="237">
        <f>BJ92+BJ93</f>
        <v>0</v>
      </c>
      <c r="BK94" s="275">
        <f>BK93+BK92</f>
        <v>0</v>
      </c>
      <c r="BL94" s="275">
        <f>BL93+BL92</f>
        <v>0</v>
      </c>
      <c r="BM94" s="275">
        <f>BM93+BM92</f>
        <v>0</v>
      </c>
      <c r="BN94" s="411" t="e">
        <f>BN93+BN92</f>
        <v>#DIV/0!</v>
      </c>
      <c r="BO94" s="369" t="e">
        <f>BO92+BO93</f>
        <v>#DIV/0!</v>
      </c>
      <c r="BP94" s="411" t="e">
        <f>BP93+BP92</f>
        <v>#DIV/0!</v>
      </c>
      <c r="BQ94" s="411" t="e">
        <f>BQ93+BQ92</f>
        <v>#DIV/0!</v>
      </c>
      <c r="BR94" s="411" t="e">
        <f>BR93+BR92</f>
        <v>#DIV/0!</v>
      </c>
      <c r="BS94" s="411" t="e">
        <f>BS93+BS92</f>
        <v>#DIV/0!</v>
      </c>
      <c r="BT94" s="369" t="e">
        <f>BT92+BT93</f>
        <v>#DIV/0!</v>
      </c>
    </row>
    <row r="95" spans="1:72" s="206" customFormat="1" ht="13">
      <c r="A95" s="676">
        <f t="shared" si="171"/>
        <v>89</v>
      </c>
      <c r="B95" s="169" t="s">
        <v>217</v>
      </c>
      <c r="C95" s="182"/>
      <c r="D95" s="218"/>
      <c r="E95" s="237"/>
      <c r="F95" s="237"/>
      <c r="G95" s="237"/>
      <c r="H95" s="40"/>
      <c r="I95" s="40"/>
      <c r="J95" s="40">
        <v>0</v>
      </c>
      <c r="K95" s="641"/>
      <c r="L95" s="237"/>
      <c r="M95" s="40"/>
      <c r="N95" s="40"/>
      <c r="O95" s="40"/>
      <c r="P95" s="641"/>
      <c r="Q95" s="237"/>
      <c r="R95" s="40"/>
      <c r="S95" s="40"/>
      <c r="T95" s="40"/>
      <c r="U95" s="40"/>
      <c r="V95" s="171"/>
      <c r="W95" s="40"/>
      <c r="X95" s="40"/>
      <c r="Y95" s="40"/>
      <c r="Z95" s="40"/>
      <c r="AA95" s="171"/>
      <c r="AB95" s="40"/>
      <c r="AC95" s="40"/>
      <c r="AD95" s="40"/>
      <c r="AE95" s="40"/>
      <c r="AF95" s="171"/>
      <c r="AG95" s="40"/>
      <c r="AH95" s="40"/>
      <c r="AI95" s="40"/>
      <c r="AJ95" s="40"/>
      <c r="AK95" s="171"/>
      <c r="AL95" s="40"/>
      <c r="AM95" s="40"/>
      <c r="AN95" s="40"/>
      <c r="AO95" s="40"/>
      <c r="AP95" s="171"/>
      <c r="AQ95" s="40"/>
      <c r="AR95" s="40"/>
      <c r="AS95" s="40"/>
      <c r="AT95" s="40"/>
      <c r="AU95" s="171"/>
      <c r="AV95" s="40"/>
      <c r="AW95" s="40"/>
      <c r="AX95" s="40"/>
      <c r="AY95" s="40"/>
      <c r="AZ95" s="171"/>
      <c r="BA95" s="40"/>
      <c r="BB95" s="40"/>
      <c r="BC95" s="40"/>
      <c r="BD95" s="40"/>
      <c r="BE95" s="171"/>
      <c r="BF95" s="40"/>
      <c r="BG95" s="40"/>
      <c r="BH95" s="40"/>
      <c r="BI95" s="40"/>
      <c r="BJ95" s="171"/>
      <c r="BK95" s="40"/>
      <c r="BL95" s="40"/>
      <c r="BM95" s="40"/>
      <c r="BN95" s="368"/>
      <c r="BO95" s="375"/>
      <c r="BP95" s="368"/>
      <c r="BQ95" s="368"/>
      <c r="BR95" s="368"/>
      <c r="BS95" s="368"/>
      <c r="BT95" s="375"/>
    </row>
    <row r="96" spans="1:72" s="182" customFormat="1" ht="13">
      <c r="A96" s="676">
        <f t="shared" si="171"/>
        <v>90</v>
      </c>
      <c r="B96" s="276" t="s">
        <v>218</v>
      </c>
      <c r="D96" s="217"/>
      <c r="E96" s="237"/>
      <c r="F96" s="237"/>
      <c r="G96" s="237"/>
      <c r="H96" s="40"/>
      <c r="I96" s="40"/>
      <c r="J96" s="40">
        <v>0</v>
      </c>
      <c r="K96" s="641"/>
      <c r="L96" s="237"/>
      <c r="M96" s="40"/>
      <c r="N96" s="40"/>
      <c r="O96" s="40"/>
      <c r="P96" s="641"/>
      <c r="Q96" s="237"/>
      <c r="R96" s="40"/>
      <c r="S96" s="40"/>
      <c r="T96" s="40"/>
      <c r="U96" s="40"/>
      <c r="V96" s="171"/>
      <c r="W96" s="40"/>
      <c r="X96" s="40"/>
      <c r="Y96" s="40"/>
      <c r="Z96" s="40"/>
      <c r="AA96" s="171"/>
      <c r="AB96" s="40"/>
      <c r="AC96" s="40"/>
      <c r="AD96" s="40"/>
      <c r="AE96" s="40"/>
      <c r="AF96" s="171"/>
      <c r="AG96" s="40"/>
      <c r="AH96" s="40"/>
      <c r="AI96" s="40"/>
      <c r="AJ96" s="40"/>
      <c r="AK96" s="171"/>
      <c r="AL96" s="40"/>
      <c r="AM96" s="40"/>
      <c r="AN96" s="40"/>
      <c r="AO96" s="40"/>
      <c r="AP96" s="171"/>
      <c r="AQ96" s="40"/>
      <c r="AR96" s="40"/>
      <c r="AS96" s="40"/>
      <c r="AT96" s="40"/>
      <c r="AU96" s="171"/>
      <c r="AV96" s="40"/>
      <c r="AW96" s="40"/>
      <c r="AX96" s="40"/>
      <c r="AY96" s="40"/>
      <c r="AZ96" s="171"/>
      <c r="BA96" s="40"/>
      <c r="BB96" s="40"/>
      <c r="BC96" s="40"/>
      <c r="BD96" s="40"/>
      <c r="BE96" s="171"/>
      <c r="BF96" s="40"/>
      <c r="BG96" s="40"/>
      <c r="BH96" s="40"/>
      <c r="BI96" s="40"/>
      <c r="BJ96" s="171"/>
      <c r="BK96" s="40"/>
      <c r="BL96" s="40"/>
      <c r="BM96" s="40"/>
      <c r="BN96" s="368"/>
      <c r="BO96" s="375"/>
      <c r="BP96" s="368"/>
      <c r="BQ96" s="368"/>
      <c r="BR96" s="368"/>
      <c r="BS96" s="368"/>
      <c r="BT96" s="375"/>
    </row>
    <row r="97" spans="1:72" s="219" customFormat="1" ht="13">
      <c r="A97" s="676">
        <f t="shared" si="171"/>
        <v>91</v>
      </c>
      <c r="B97" s="183" t="s">
        <v>219</v>
      </c>
      <c r="C97" s="182"/>
      <c r="D97" s="182"/>
      <c r="E97" s="278">
        <f t="shared" ref="E97:AB97" si="202">E94+E96-E95</f>
        <v>0</v>
      </c>
      <c r="F97" s="278">
        <f t="shared" si="202"/>
        <v>0</v>
      </c>
      <c r="G97" s="278">
        <f t="shared" si="202"/>
        <v>0</v>
      </c>
      <c r="H97" s="277">
        <f t="shared" si="202"/>
        <v>0</v>
      </c>
      <c r="I97" s="277">
        <f t="shared" si="202"/>
        <v>0</v>
      </c>
      <c r="J97" s="277">
        <f t="shared" si="202"/>
        <v>0</v>
      </c>
      <c r="K97" s="277">
        <f t="shared" si="202"/>
        <v>0</v>
      </c>
      <c r="L97" s="278">
        <f t="shared" si="202"/>
        <v>0</v>
      </c>
      <c r="M97" s="277">
        <f t="shared" si="202"/>
        <v>0</v>
      </c>
      <c r="N97" s="277">
        <f t="shared" si="202"/>
        <v>0</v>
      </c>
      <c r="O97" s="277">
        <f t="shared" si="202"/>
        <v>0</v>
      </c>
      <c r="P97" s="277">
        <f t="shared" si="202"/>
        <v>0</v>
      </c>
      <c r="Q97" s="278">
        <f t="shared" si="202"/>
        <v>0</v>
      </c>
      <c r="R97" s="277">
        <f t="shared" si="202"/>
        <v>0</v>
      </c>
      <c r="S97" s="277">
        <f t="shared" si="202"/>
        <v>0</v>
      </c>
      <c r="T97" s="277">
        <f t="shared" si="202"/>
        <v>0</v>
      </c>
      <c r="U97" s="277">
        <f t="shared" si="202"/>
        <v>0</v>
      </c>
      <c r="V97" s="278">
        <f t="shared" si="202"/>
        <v>0</v>
      </c>
      <c r="W97" s="277">
        <f t="shared" si="202"/>
        <v>0</v>
      </c>
      <c r="X97" s="277">
        <f>X94+X96-X95</f>
        <v>0</v>
      </c>
      <c r="Y97" s="277">
        <f>Y94+Y96-Y95</f>
        <v>0</v>
      </c>
      <c r="Z97" s="277">
        <f t="shared" si="202"/>
        <v>0</v>
      </c>
      <c r="AA97" s="278">
        <f t="shared" si="202"/>
        <v>0</v>
      </c>
      <c r="AB97" s="277">
        <f t="shared" si="202"/>
        <v>0</v>
      </c>
      <c r="AC97" s="277">
        <f t="shared" ref="AC97:AQ97" si="203">AC94+AC96-AC95</f>
        <v>0</v>
      </c>
      <c r="AD97" s="277">
        <f t="shared" si="203"/>
        <v>0</v>
      </c>
      <c r="AE97" s="277">
        <f t="shared" si="203"/>
        <v>0</v>
      </c>
      <c r="AF97" s="278">
        <f t="shared" si="203"/>
        <v>0</v>
      </c>
      <c r="AG97" s="277">
        <f t="shared" si="203"/>
        <v>0</v>
      </c>
      <c r="AH97" s="277">
        <f t="shared" si="203"/>
        <v>0</v>
      </c>
      <c r="AI97" s="277">
        <f t="shared" si="203"/>
        <v>0</v>
      </c>
      <c r="AJ97" s="277">
        <f t="shared" si="203"/>
        <v>0</v>
      </c>
      <c r="AK97" s="278">
        <f t="shared" si="203"/>
        <v>0</v>
      </c>
      <c r="AL97" s="277">
        <f t="shared" si="203"/>
        <v>0</v>
      </c>
      <c r="AM97" s="277">
        <f t="shared" si="203"/>
        <v>0</v>
      </c>
      <c r="AN97" s="277">
        <f t="shared" si="203"/>
        <v>0</v>
      </c>
      <c r="AO97" s="277">
        <f t="shared" si="203"/>
        <v>0</v>
      </c>
      <c r="AP97" s="278">
        <f t="shared" si="203"/>
        <v>0</v>
      </c>
      <c r="AQ97" s="277">
        <f t="shared" si="203"/>
        <v>0</v>
      </c>
      <c r="AR97" s="277">
        <f t="shared" ref="AR97:AW97" si="204">AR94+AR96-AR95</f>
        <v>0</v>
      </c>
      <c r="AS97" s="277">
        <f t="shared" si="204"/>
        <v>0</v>
      </c>
      <c r="AT97" s="277">
        <f t="shared" si="204"/>
        <v>0</v>
      </c>
      <c r="AU97" s="278">
        <f t="shared" si="204"/>
        <v>0</v>
      </c>
      <c r="AV97" s="277">
        <f t="shared" si="204"/>
        <v>0</v>
      </c>
      <c r="AW97" s="277">
        <f t="shared" si="204"/>
        <v>0</v>
      </c>
      <c r="AX97" s="277">
        <f t="shared" ref="AX97:BG97" si="205">AX94+AX96-AX95</f>
        <v>0</v>
      </c>
      <c r="AY97" s="277">
        <f t="shared" si="205"/>
        <v>0</v>
      </c>
      <c r="AZ97" s="278">
        <f t="shared" si="205"/>
        <v>0</v>
      </c>
      <c r="BA97" s="277">
        <f t="shared" si="205"/>
        <v>0</v>
      </c>
      <c r="BB97" s="277">
        <f t="shared" si="205"/>
        <v>0</v>
      </c>
      <c r="BC97" s="277">
        <f t="shared" si="205"/>
        <v>0</v>
      </c>
      <c r="BD97" s="277">
        <f t="shared" si="205"/>
        <v>0</v>
      </c>
      <c r="BE97" s="278">
        <f t="shared" si="205"/>
        <v>0</v>
      </c>
      <c r="BF97" s="277">
        <f t="shared" si="205"/>
        <v>0</v>
      </c>
      <c r="BG97" s="277">
        <f t="shared" si="205"/>
        <v>0</v>
      </c>
      <c r="BH97" s="277">
        <f t="shared" ref="BH97:BT97" si="206">BH94+BH96-BH95</f>
        <v>0</v>
      </c>
      <c r="BI97" s="277">
        <f t="shared" si="206"/>
        <v>0</v>
      </c>
      <c r="BJ97" s="278">
        <f t="shared" si="206"/>
        <v>0</v>
      </c>
      <c r="BK97" s="277">
        <f t="shared" si="206"/>
        <v>0</v>
      </c>
      <c r="BL97" s="277">
        <f t="shared" si="206"/>
        <v>0</v>
      </c>
      <c r="BM97" s="277">
        <f>BM94+BM96-BM95</f>
        <v>0</v>
      </c>
      <c r="BN97" s="412" t="e">
        <f t="shared" si="206"/>
        <v>#DIV/0!</v>
      </c>
      <c r="BO97" s="413" t="e">
        <f t="shared" si="206"/>
        <v>#DIV/0!</v>
      </c>
      <c r="BP97" s="412" t="e">
        <f t="shared" si="206"/>
        <v>#DIV/0!</v>
      </c>
      <c r="BQ97" s="412" t="e">
        <f t="shared" si="206"/>
        <v>#DIV/0!</v>
      </c>
      <c r="BR97" s="412" t="e">
        <f t="shared" si="206"/>
        <v>#DIV/0!</v>
      </c>
      <c r="BS97" s="412" t="e">
        <f t="shared" si="206"/>
        <v>#DIV/0!</v>
      </c>
      <c r="BT97" s="413" t="e">
        <f t="shared" si="206"/>
        <v>#DIV/0!</v>
      </c>
    </row>
    <row r="98" spans="1:72" s="219" customFormat="1" ht="13">
      <c r="A98" s="676">
        <f t="shared" si="171"/>
        <v>92</v>
      </c>
      <c r="B98" s="183"/>
      <c r="C98" s="182"/>
      <c r="D98" s="182"/>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368"/>
      <c r="BO98" s="368"/>
      <c r="BP98" s="368"/>
      <c r="BQ98" s="368"/>
      <c r="BR98" s="368"/>
      <c r="BS98" s="368"/>
      <c r="BT98" s="368"/>
    </row>
    <row r="99" spans="1:72" s="182" customFormat="1" ht="18">
      <c r="A99" s="676">
        <f t="shared" si="171"/>
        <v>93</v>
      </c>
      <c r="B99" s="279" t="str">
        <f>B2</f>
        <v>Name of Company</v>
      </c>
      <c r="C99" s="232"/>
      <c r="D99" s="232"/>
      <c r="E99" s="233"/>
      <c r="F99" s="233"/>
      <c r="G99" s="233"/>
      <c r="H99" s="233"/>
      <c r="I99" s="233"/>
      <c r="J99" s="233"/>
      <c r="K99" s="233"/>
      <c r="L99" s="233"/>
      <c r="M99" s="233"/>
      <c r="N99" s="233"/>
      <c r="O99" s="233"/>
      <c r="P99" s="233"/>
      <c r="Q99" s="233"/>
      <c r="R99" s="233"/>
      <c r="S99" s="638"/>
      <c r="T99" s="28"/>
      <c r="U99" s="28"/>
      <c r="V99" s="28"/>
      <c r="W99" s="28"/>
      <c r="X99" s="638"/>
      <c r="Y99" s="28"/>
      <c r="Z99" s="28"/>
      <c r="AA99" s="28"/>
      <c r="AB99" s="28"/>
      <c r="AC99" s="638"/>
      <c r="AD99" s="28"/>
      <c r="AE99" s="28"/>
      <c r="AF99" s="28"/>
      <c r="AG99" s="28"/>
      <c r="AH99" s="638"/>
      <c r="AI99" s="28"/>
      <c r="AJ99" s="28"/>
      <c r="AK99" s="28"/>
      <c r="AL99" s="28"/>
      <c r="AM99" s="638"/>
      <c r="AN99" s="28"/>
      <c r="AO99" s="28"/>
      <c r="AP99" s="28"/>
      <c r="AQ99" s="28"/>
      <c r="AR99" s="638"/>
      <c r="AS99" s="28"/>
      <c r="AT99" s="28"/>
      <c r="AU99" s="28"/>
      <c r="AV99" s="28"/>
      <c r="AW99" s="638"/>
      <c r="AX99" s="28"/>
      <c r="AY99" s="28"/>
      <c r="AZ99" s="28"/>
      <c r="BA99" s="28"/>
      <c r="BB99" s="638"/>
      <c r="BC99" s="28"/>
      <c r="BD99" s="28"/>
      <c r="BE99" s="28"/>
      <c r="BF99" s="28"/>
      <c r="BG99" s="638"/>
      <c r="BH99" s="638"/>
      <c r="BI99" s="28"/>
      <c r="BJ99" s="28"/>
      <c r="BK99" s="28"/>
      <c r="BL99" s="638"/>
      <c r="BM99" s="638"/>
      <c r="BN99" s="359"/>
      <c r="BO99" s="359"/>
      <c r="BP99" s="359"/>
      <c r="BQ99" s="359"/>
      <c r="BR99" s="359"/>
      <c r="BS99" s="359"/>
      <c r="BT99" s="359"/>
    </row>
    <row r="100" spans="1:72" s="182" customFormat="1" ht="13">
      <c r="A100" s="676">
        <f t="shared" si="171"/>
        <v>94</v>
      </c>
      <c r="B100" s="182" t="s">
        <v>220</v>
      </c>
      <c r="E100" s="643"/>
      <c r="F100" s="643"/>
      <c r="G100" s="28"/>
      <c r="H100" s="28"/>
      <c r="I100" s="28"/>
      <c r="J100" s="28"/>
      <c r="K100" s="643"/>
      <c r="L100" s="339"/>
      <c r="M100" s="339"/>
      <c r="N100" s="339"/>
      <c r="O100" s="339"/>
      <c r="P100" s="643"/>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359"/>
      <c r="BO100" s="359"/>
      <c r="BP100" s="359"/>
      <c r="BQ100" s="359"/>
      <c r="BR100" s="359"/>
      <c r="BS100" s="359"/>
      <c r="BT100" s="359"/>
    </row>
    <row r="101" spans="1:72" s="182" customFormat="1" ht="13">
      <c r="A101" s="676">
        <f t="shared" si="171"/>
        <v>95</v>
      </c>
      <c r="E101" s="253" t="str">
        <f>+E$5</f>
        <v>FYE</v>
      </c>
      <c r="F101" s="253" t="str">
        <f t="shared" ref="F101:BQ101" si="207">+F$5</f>
        <v>FYE</v>
      </c>
      <c r="G101" s="253" t="str">
        <f t="shared" si="207"/>
        <v>FYE</v>
      </c>
      <c r="H101" s="634">
        <f t="shared" si="207"/>
        <v>1</v>
      </c>
      <c r="I101" s="634">
        <f t="shared" si="207"/>
        <v>2</v>
      </c>
      <c r="J101" s="634">
        <f t="shared" si="207"/>
        <v>3</v>
      </c>
      <c r="K101" s="634">
        <f t="shared" si="207"/>
        <v>4</v>
      </c>
      <c r="L101" s="253" t="str">
        <f t="shared" si="207"/>
        <v>FYE</v>
      </c>
      <c r="M101" s="634">
        <f t="shared" si="207"/>
        <v>1</v>
      </c>
      <c r="N101" s="634">
        <f t="shared" si="207"/>
        <v>2</v>
      </c>
      <c r="O101" s="634">
        <f t="shared" si="207"/>
        <v>3</v>
      </c>
      <c r="P101" s="634">
        <f t="shared" si="207"/>
        <v>4</v>
      </c>
      <c r="Q101" s="253" t="str">
        <f t="shared" si="207"/>
        <v>FYE</v>
      </c>
      <c r="R101" s="634">
        <f t="shared" si="207"/>
        <v>1</v>
      </c>
      <c r="S101" s="634">
        <f t="shared" si="207"/>
        <v>2</v>
      </c>
      <c r="T101" s="634">
        <f t="shared" si="207"/>
        <v>3</v>
      </c>
      <c r="U101" s="634">
        <f t="shared" si="207"/>
        <v>4</v>
      </c>
      <c r="V101" s="253" t="str">
        <f t="shared" si="207"/>
        <v>FYE</v>
      </c>
      <c r="W101" s="634">
        <f t="shared" si="207"/>
        <v>1</v>
      </c>
      <c r="X101" s="634">
        <f t="shared" si="207"/>
        <v>2</v>
      </c>
      <c r="Y101" s="634">
        <f t="shared" si="207"/>
        <v>3</v>
      </c>
      <c r="Z101" s="634">
        <f t="shared" si="207"/>
        <v>4</v>
      </c>
      <c r="AA101" s="253" t="str">
        <f t="shared" si="207"/>
        <v>FYE</v>
      </c>
      <c r="AB101" s="634">
        <f t="shared" si="207"/>
        <v>1</v>
      </c>
      <c r="AC101" s="634">
        <f t="shared" si="207"/>
        <v>2</v>
      </c>
      <c r="AD101" s="634">
        <f t="shared" si="207"/>
        <v>3</v>
      </c>
      <c r="AE101" s="634">
        <f t="shared" si="207"/>
        <v>4</v>
      </c>
      <c r="AF101" s="253" t="str">
        <f t="shared" si="207"/>
        <v>FYE</v>
      </c>
      <c r="AG101" s="634">
        <f t="shared" si="207"/>
        <v>1</v>
      </c>
      <c r="AH101" s="634">
        <f t="shared" si="207"/>
        <v>2</v>
      </c>
      <c r="AI101" s="634">
        <f t="shared" si="207"/>
        <v>3</v>
      </c>
      <c r="AJ101" s="634">
        <f t="shared" si="207"/>
        <v>4</v>
      </c>
      <c r="AK101" s="253" t="str">
        <f t="shared" si="207"/>
        <v>FYE</v>
      </c>
      <c r="AL101" s="634">
        <f t="shared" si="207"/>
        <v>1</v>
      </c>
      <c r="AM101" s="634">
        <f t="shared" si="207"/>
        <v>2</v>
      </c>
      <c r="AN101" s="634">
        <f t="shared" si="207"/>
        <v>3</v>
      </c>
      <c r="AO101" s="634">
        <f t="shared" si="207"/>
        <v>4</v>
      </c>
      <c r="AP101" s="253" t="str">
        <f t="shared" si="207"/>
        <v>FYE</v>
      </c>
      <c r="AQ101" s="634">
        <f t="shared" si="207"/>
        <v>1</v>
      </c>
      <c r="AR101" s="634">
        <f t="shared" si="207"/>
        <v>2</v>
      </c>
      <c r="AS101" s="634">
        <f t="shared" si="207"/>
        <v>3</v>
      </c>
      <c r="AT101" s="634">
        <f t="shared" si="207"/>
        <v>4</v>
      </c>
      <c r="AU101" s="253" t="str">
        <f t="shared" si="207"/>
        <v>FYE</v>
      </c>
      <c r="AV101" s="634">
        <f t="shared" si="207"/>
        <v>1</v>
      </c>
      <c r="AW101" s="634">
        <f t="shared" si="207"/>
        <v>2</v>
      </c>
      <c r="AX101" s="634">
        <f t="shared" si="207"/>
        <v>3</v>
      </c>
      <c r="AY101" s="634">
        <f t="shared" si="207"/>
        <v>4</v>
      </c>
      <c r="AZ101" s="253" t="str">
        <f t="shared" si="207"/>
        <v>FYE</v>
      </c>
      <c r="BA101" s="634">
        <f t="shared" si="207"/>
        <v>1</v>
      </c>
      <c r="BB101" s="634">
        <f t="shared" si="207"/>
        <v>2</v>
      </c>
      <c r="BC101" s="634">
        <f t="shared" si="207"/>
        <v>3</v>
      </c>
      <c r="BD101" s="634">
        <f t="shared" si="207"/>
        <v>4</v>
      </c>
      <c r="BE101" s="253" t="str">
        <f t="shared" si="207"/>
        <v>FYE</v>
      </c>
      <c r="BF101" s="634">
        <f t="shared" si="207"/>
        <v>1</v>
      </c>
      <c r="BG101" s="634">
        <f t="shared" si="207"/>
        <v>2</v>
      </c>
      <c r="BH101" s="634">
        <f t="shared" si="207"/>
        <v>3</v>
      </c>
      <c r="BI101" s="634">
        <f t="shared" si="207"/>
        <v>4</v>
      </c>
      <c r="BJ101" s="253" t="str">
        <f t="shared" si="207"/>
        <v>FYE</v>
      </c>
      <c r="BK101" s="634">
        <f t="shared" si="207"/>
        <v>1</v>
      </c>
      <c r="BL101" s="634">
        <f t="shared" si="207"/>
        <v>2</v>
      </c>
      <c r="BM101" s="634">
        <f t="shared" si="207"/>
        <v>3</v>
      </c>
      <c r="BN101" s="635">
        <f t="shared" si="207"/>
        <v>4</v>
      </c>
      <c r="BO101" s="361" t="str">
        <f t="shared" si="207"/>
        <v>FYE</v>
      </c>
      <c r="BP101" s="635">
        <f t="shared" si="207"/>
        <v>2</v>
      </c>
      <c r="BQ101" s="635">
        <f t="shared" si="207"/>
        <v>2</v>
      </c>
      <c r="BR101" s="635">
        <f>+BR$5</f>
        <v>2</v>
      </c>
      <c r="BS101" s="635">
        <f>+BS$5</f>
        <v>2</v>
      </c>
      <c r="BT101" s="361" t="str">
        <f>+BT$5</f>
        <v>FYE</v>
      </c>
    </row>
    <row r="102" spans="1:72" s="182" customFormat="1" ht="13">
      <c r="A102" s="676">
        <f t="shared" si="171"/>
        <v>96</v>
      </c>
      <c r="E102" s="639">
        <f t="shared" ref="E102:AJ102" si="208">E6</f>
        <v>37256</v>
      </c>
      <c r="F102" s="639">
        <f t="shared" si="208"/>
        <v>37621</v>
      </c>
      <c r="G102" s="639">
        <f t="shared" si="208"/>
        <v>37986</v>
      </c>
      <c r="H102" s="123">
        <f t="shared" si="208"/>
        <v>38077</v>
      </c>
      <c r="I102" s="123">
        <f t="shared" si="208"/>
        <v>38168</v>
      </c>
      <c r="J102" s="123">
        <f t="shared" si="208"/>
        <v>38260</v>
      </c>
      <c r="K102" s="123">
        <f t="shared" si="208"/>
        <v>38352</v>
      </c>
      <c r="L102" s="639">
        <f t="shared" si="208"/>
        <v>38352</v>
      </c>
      <c r="M102" s="123">
        <f t="shared" si="208"/>
        <v>38442</v>
      </c>
      <c r="N102" s="123">
        <f t="shared" si="208"/>
        <v>38533</v>
      </c>
      <c r="O102" s="123">
        <f t="shared" si="208"/>
        <v>38625</v>
      </c>
      <c r="P102" s="123">
        <f t="shared" si="208"/>
        <v>38717</v>
      </c>
      <c r="Q102" s="639">
        <f t="shared" si="208"/>
        <v>38717</v>
      </c>
      <c r="R102" s="123">
        <f t="shared" si="208"/>
        <v>38807</v>
      </c>
      <c r="S102" s="123">
        <f t="shared" si="208"/>
        <v>38898</v>
      </c>
      <c r="T102" s="123">
        <f t="shared" si="208"/>
        <v>38990</v>
      </c>
      <c r="U102" s="123">
        <f t="shared" si="208"/>
        <v>39082</v>
      </c>
      <c r="V102" s="639">
        <f t="shared" si="208"/>
        <v>39082</v>
      </c>
      <c r="W102" s="123">
        <f t="shared" si="208"/>
        <v>39172</v>
      </c>
      <c r="X102" s="123">
        <f t="shared" si="208"/>
        <v>39263</v>
      </c>
      <c r="Y102" s="123">
        <f t="shared" si="208"/>
        <v>39355</v>
      </c>
      <c r="Z102" s="123">
        <f t="shared" si="208"/>
        <v>39447</v>
      </c>
      <c r="AA102" s="639">
        <f t="shared" si="208"/>
        <v>39447</v>
      </c>
      <c r="AB102" s="123">
        <f t="shared" si="208"/>
        <v>39538</v>
      </c>
      <c r="AC102" s="123">
        <f t="shared" si="208"/>
        <v>39629</v>
      </c>
      <c r="AD102" s="123">
        <f t="shared" si="208"/>
        <v>39721</v>
      </c>
      <c r="AE102" s="123">
        <f t="shared" si="208"/>
        <v>39813</v>
      </c>
      <c r="AF102" s="639">
        <f t="shared" si="208"/>
        <v>39813</v>
      </c>
      <c r="AG102" s="123">
        <f t="shared" si="208"/>
        <v>39903</v>
      </c>
      <c r="AH102" s="123">
        <f t="shared" si="208"/>
        <v>39994</v>
      </c>
      <c r="AI102" s="123">
        <f t="shared" si="208"/>
        <v>40086</v>
      </c>
      <c r="AJ102" s="123">
        <f t="shared" si="208"/>
        <v>40178</v>
      </c>
      <c r="AK102" s="639">
        <f t="shared" ref="AK102:BT102" si="209">AK6</f>
        <v>40178</v>
      </c>
      <c r="AL102" s="123">
        <f t="shared" si="209"/>
        <v>40268</v>
      </c>
      <c r="AM102" s="123">
        <f t="shared" si="209"/>
        <v>40359</v>
      </c>
      <c r="AN102" s="123">
        <f t="shared" si="209"/>
        <v>40451</v>
      </c>
      <c r="AO102" s="123">
        <f t="shared" si="209"/>
        <v>40543</v>
      </c>
      <c r="AP102" s="639">
        <f t="shared" si="209"/>
        <v>40543</v>
      </c>
      <c r="AQ102" s="123">
        <f t="shared" si="209"/>
        <v>40633</v>
      </c>
      <c r="AR102" s="123">
        <f t="shared" si="209"/>
        <v>40724</v>
      </c>
      <c r="AS102" s="123">
        <f t="shared" si="209"/>
        <v>40816</v>
      </c>
      <c r="AT102" s="123">
        <f t="shared" si="209"/>
        <v>40908</v>
      </c>
      <c r="AU102" s="639">
        <f t="shared" si="209"/>
        <v>40908</v>
      </c>
      <c r="AV102" s="123">
        <f t="shared" si="209"/>
        <v>40999</v>
      </c>
      <c r="AW102" s="123">
        <f t="shared" si="209"/>
        <v>41090</v>
      </c>
      <c r="AX102" s="123">
        <f t="shared" si="209"/>
        <v>41182</v>
      </c>
      <c r="AY102" s="123">
        <f t="shared" si="209"/>
        <v>41274</v>
      </c>
      <c r="AZ102" s="639">
        <f t="shared" si="209"/>
        <v>41274</v>
      </c>
      <c r="BA102" s="123">
        <f t="shared" si="209"/>
        <v>41364</v>
      </c>
      <c r="BB102" s="123">
        <f t="shared" si="209"/>
        <v>41455</v>
      </c>
      <c r="BC102" s="123">
        <f t="shared" si="209"/>
        <v>41547</v>
      </c>
      <c r="BD102" s="123">
        <f t="shared" si="209"/>
        <v>41639</v>
      </c>
      <c r="BE102" s="639">
        <f t="shared" si="209"/>
        <v>41639</v>
      </c>
      <c r="BF102" s="123">
        <f t="shared" si="209"/>
        <v>41729</v>
      </c>
      <c r="BG102" s="123">
        <f t="shared" si="209"/>
        <v>41820</v>
      </c>
      <c r="BH102" s="123">
        <f t="shared" si="209"/>
        <v>41912</v>
      </c>
      <c r="BI102" s="123">
        <f t="shared" si="209"/>
        <v>42004</v>
      </c>
      <c r="BJ102" s="639">
        <f t="shared" si="209"/>
        <v>42004</v>
      </c>
      <c r="BK102" s="123">
        <f t="shared" si="209"/>
        <v>42094</v>
      </c>
      <c r="BL102" s="123">
        <f>BL6</f>
        <v>42185</v>
      </c>
      <c r="BM102" s="123">
        <f>BM6</f>
        <v>42277</v>
      </c>
      <c r="BN102" s="362">
        <f t="shared" si="209"/>
        <v>42369</v>
      </c>
      <c r="BO102" s="363">
        <f t="shared" si="209"/>
        <v>42369</v>
      </c>
      <c r="BP102" s="362">
        <f t="shared" si="209"/>
        <v>42460</v>
      </c>
      <c r="BQ102" s="362">
        <f t="shared" si="209"/>
        <v>42551</v>
      </c>
      <c r="BR102" s="362">
        <f t="shared" si="209"/>
        <v>42643</v>
      </c>
      <c r="BS102" s="362">
        <f t="shared" si="209"/>
        <v>42735</v>
      </c>
      <c r="BT102" s="363">
        <f t="shared" si="209"/>
        <v>42735</v>
      </c>
    </row>
    <row r="103" spans="1:72" s="182" customFormat="1" ht="13">
      <c r="A103" s="676">
        <f t="shared" si="171"/>
        <v>97</v>
      </c>
      <c r="B103" s="183" t="s">
        <v>221</v>
      </c>
      <c r="E103" s="237">
        <f t="shared" ref="E103:AJ103" si="210">E59</f>
        <v>0</v>
      </c>
      <c r="F103" s="237">
        <f t="shared" si="210"/>
        <v>0</v>
      </c>
      <c r="G103" s="237">
        <f t="shared" si="210"/>
        <v>0</v>
      </c>
      <c r="H103" s="280">
        <f t="shared" si="210"/>
        <v>0</v>
      </c>
      <c r="I103" s="280">
        <f t="shared" si="210"/>
        <v>0</v>
      </c>
      <c r="J103" s="280">
        <f t="shared" si="210"/>
        <v>0</v>
      </c>
      <c r="K103" s="280">
        <f t="shared" si="210"/>
        <v>0</v>
      </c>
      <c r="L103" s="237">
        <f t="shared" si="210"/>
        <v>0</v>
      </c>
      <c r="M103" s="280">
        <f t="shared" si="210"/>
        <v>0</v>
      </c>
      <c r="N103" s="280">
        <f t="shared" si="210"/>
        <v>0</v>
      </c>
      <c r="O103" s="280">
        <f t="shared" si="210"/>
        <v>0</v>
      </c>
      <c r="P103" s="280">
        <f t="shared" si="210"/>
        <v>0</v>
      </c>
      <c r="Q103" s="237">
        <f t="shared" si="210"/>
        <v>0</v>
      </c>
      <c r="R103" s="280">
        <f t="shared" si="210"/>
        <v>0</v>
      </c>
      <c r="S103" s="280">
        <f t="shared" si="210"/>
        <v>0</v>
      </c>
      <c r="T103" s="280">
        <f t="shared" si="210"/>
        <v>0</v>
      </c>
      <c r="U103" s="280">
        <f t="shared" si="210"/>
        <v>0</v>
      </c>
      <c r="V103" s="237">
        <f t="shared" si="210"/>
        <v>0</v>
      </c>
      <c r="W103" s="280">
        <f t="shared" si="210"/>
        <v>0</v>
      </c>
      <c r="X103" s="280">
        <f t="shared" si="210"/>
        <v>0</v>
      </c>
      <c r="Y103" s="280">
        <f t="shared" si="210"/>
        <v>0</v>
      </c>
      <c r="Z103" s="280">
        <f t="shared" si="210"/>
        <v>0</v>
      </c>
      <c r="AA103" s="237">
        <f t="shared" si="210"/>
        <v>0</v>
      </c>
      <c r="AB103" s="280">
        <f t="shared" si="210"/>
        <v>0</v>
      </c>
      <c r="AC103" s="280">
        <f t="shared" si="210"/>
        <v>0</v>
      </c>
      <c r="AD103" s="280">
        <f t="shared" si="210"/>
        <v>0</v>
      </c>
      <c r="AE103" s="280">
        <f t="shared" si="210"/>
        <v>0</v>
      </c>
      <c r="AF103" s="237">
        <f t="shared" si="210"/>
        <v>0</v>
      </c>
      <c r="AG103" s="280">
        <f t="shared" si="210"/>
        <v>0</v>
      </c>
      <c r="AH103" s="280">
        <f t="shared" si="210"/>
        <v>0</v>
      </c>
      <c r="AI103" s="280">
        <f t="shared" si="210"/>
        <v>0</v>
      </c>
      <c r="AJ103" s="280">
        <f t="shared" si="210"/>
        <v>0</v>
      </c>
      <c r="AK103" s="237">
        <f t="shared" ref="AK103:BT103" si="211">AK59</f>
        <v>0</v>
      </c>
      <c r="AL103" s="280">
        <f t="shared" si="211"/>
        <v>0</v>
      </c>
      <c r="AM103" s="280">
        <f t="shared" si="211"/>
        <v>0</v>
      </c>
      <c r="AN103" s="280">
        <f t="shared" si="211"/>
        <v>0</v>
      </c>
      <c r="AO103" s="280">
        <f t="shared" si="211"/>
        <v>0</v>
      </c>
      <c r="AP103" s="237">
        <f t="shared" si="211"/>
        <v>0</v>
      </c>
      <c r="AQ103" s="280">
        <f t="shared" si="211"/>
        <v>0</v>
      </c>
      <c r="AR103" s="280">
        <f t="shared" si="211"/>
        <v>0</v>
      </c>
      <c r="AS103" s="280">
        <f t="shared" si="211"/>
        <v>0</v>
      </c>
      <c r="AT103" s="280">
        <f t="shared" si="211"/>
        <v>0</v>
      </c>
      <c r="AU103" s="237">
        <f t="shared" si="211"/>
        <v>0</v>
      </c>
      <c r="AV103" s="280">
        <f t="shared" si="211"/>
        <v>0</v>
      </c>
      <c r="AW103" s="280">
        <f t="shared" si="211"/>
        <v>0</v>
      </c>
      <c r="AX103" s="280">
        <f t="shared" si="211"/>
        <v>0</v>
      </c>
      <c r="AY103" s="280">
        <f t="shared" si="211"/>
        <v>0</v>
      </c>
      <c r="AZ103" s="237">
        <f t="shared" si="211"/>
        <v>0</v>
      </c>
      <c r="BA103" s="280">
        <f t="shared" si="211"/>
        <v>0</v>
      </c>
      <c r="BB103" s="280">
        <f t="shared" si="211"/>
        <v>0</v>
      </c>
      <c r="BC103" s="280">
        <f t="shared" si="211"/>
        <v>0</v>
      </c>
      <c r="BD103" s="280">
        <f t="shared" si="211"/>
        <v>0</v>
      </c>
      <c r="BE103" s="237">
        <f t="shared" si="211"/>
        <v>0</v>
      </c>
      <c r="BF103" s="280">
        <f t="shared" si="211"/>
        <v>0</v>
      </c>
      <c r="BG103" s="280">
        <f t="shared" si="211"/>
        <v>0</v>
      </c>
      <c r="BH103" s="280">
        <f t="shared" si="211"/>
        <v>0</v>
      </c>
      <c r="BI103" s="280">
        <f t="shared" si="211"/>
        <v>0</v>
      </c>
      <c r="BJ103" s="237">
        <f t="shared" si="211"/>
        <v>0</v>
      </c>
      <c r="BK103" s="280">
        <f t="shared" si="211"/>
        <v>0</v>
      </c>
      <c r="BL103" s="280">
        <f>BL59</f>
        <v>0</v>
      </c>
      <c r="BM103" s="280">
        <f>BM59</f>
        <v>0</v>
      </c>
      <c r="BN103" s="415">
        <f t="shared" si="211"/>
        <v>0</v>
      </c>
      <c r="BO103" s="369">
        <f t="shared" si="211"/>
        <v>0</v>
      </c>
      <c r="BP103" s="415">
        <f t="shared" si="211"/>
        <v>0</v>
      </c>
      <c r="BQ103" s="415">
        <f t="shared" si="211"/>
        <v>0</v>
      </c>
      <c r="BR103" s="415">
        <f t="shared" si="211"/>
        <v>0</v>
      </c>
      <c r="BS103" s="415">
        <f t="shared" si="211"/>
        <v>0</v>
      </c>
      <c r="BT103" s="369">
        <f t="shared" si="211"/>
        <v>0</v>
      </c>
    </row>
    <row r="104" spans="1:72" s="182" customFormat="1" ht="13">
      <c r="A104" s="676">
        <f t="shared" si="171"/>
        <v>98</v>
      </c>
      <c r="B104" s="183" t="s">
        <v>222</v>
      </c>
      <c r="E104" s="237">
        <f t="shared" ref="E104:AJ104" si="212">E65</f>
        <v>0</v>
      </c>
      <c r="F104" s="237">
        <f t="shared" si="212"/>
        <v>0</v>
      </c>
      <c r="G104" s="237">
        <f t="shared" si="212"/>
        <v>0</v>
      </c>
      <c r="H104" s="40">
        <f t="shared" si="212"/>
        <v>0</v>
      </c>
      <c r="I104" s="40">
        <f t="shared" si="212"/>
        <v>0</v>
      </c>
      <c r="J104" s="40">
        <f t="shared" si="212"/>
        <v>0</v>
      </c>
      <c r="K104" s="40">
        <f t="shared" si="212"/>
        <v>0</v>
      </c>
      <c r="L104" s="237">
        <f t="shared" si="212"/>
        <v>0</v>
      </c>
      <c r="M104" s="40">
        <f t="shared" si="212"/>
        <v>0</v>
      </c>
      <c r="N104" s="40">
        <f t="shared" si="212"/>
        <v>0</v>
      </c>
      <c r="O104" s="40">
        <f t="shared" si="212"/>
        <v>0</v>
      </c>
      <c r="P104" s="40">
        <f t="shared" si="212"/>
        <v>0</v>
      </c>
      <c r="Q104" s="237">
        <f t="shared" si="212"/>
        <v>0</v>
      </c>
      <c r="R104" s="40">
        <f t="shared" si="212"/>
        <v>0</v>
      </c>
      <c r="S104" s="40">
        <f t="shared" si="212"/>
        <v>0</v>
      </c>
      <c r="T104" s="40">
        <f t="shared" si="212"/>
        <v>0</v>
      </c>
      <c r="U104" s="40">
        <f t="shared" si="212"/>
        <v>0</v>
      </c>
      <c r="V104" s="237">
        <f t="shared" si="212"/>
        <v>0</v>
      </c>
      <c r="W104" s="40">
        <f t="shared" si="212"/>
        <v>0</v>
      </c>
      <c r="X104" s="40">
        <f t="shared" si="212"/>
        <v>0</v>
      </c>
      <c r="Y104" s="40">
        <f t="shared" si="212"/>
        <v>0</v>
      </c>
      <c r="Z104" s="40">
        <f t="shared" si="212"/>
        <v>0</v>
      </c>
      <c r="AA104" s="237">
        <f t="shared" si="212"/>
        <v>0</v>
      </c>
      <c r="AB104" s="40">
        <f t="shared" si="212"/>
        <v>0</v>
      </c>
      <c r="AC104" s="40">
        <f t="shared" si="212"/>
        <v>0</v>
      </c>
      <c r="AD104" s="40">
        <f t="shared" si="212"/>
        <v>0</v>
      </c>
      <c r="AE104" s="40">
        <f t="shared" si="212"/>
        <v>0</v>
      </c>
      <c r="AF104" s="237">
        <f t="shared" si="212"/>
        <v>0</v>
      </c>
      <c r="AG104" s="40">
        <f t="shared" si="212"/>
        <v>0</v>
      </c>
      <c r="AH104" s="40">
        <f t="shared" si="212"/>
        <v>0</v>
      </c>
      <c r="AI104" s="40">
        <f t="shared" si="212"/>
        <v>0</v>
      </c>
      <c r="AJ104" s="40">
        <f t="shared" si="212"/>
        <v>0</v>
      </c>
      <c r="AK104" s="237">
        <f t="shared" ref="AK104:BT104" si="213">AK65</f>
        <v>0</v>
      </c>
      <c r="AL104" s="40">
        <f t="shared" si="213"/>
        <v>0</v>
      </c>
      <c r="AM104" s="40">
        <f t="shared" si="213"/>
        <v>0</v>
      </c>
      <c r="AN104" s="40">
        <f t="shared" si="213"/>
        <v>0</v>
      </c>
      <c r="AO104" s="40">
        <f t="shared" si="213"/>
        <v>0</v>
      </c>
      <c r="AP104" s="237">
        <f t="shared" si="213"/>
        <v>0</v>
      </c>
      <c r="AQ104" s="40">
        <f t="shared" si="213"/>
        <v>0</v>
      </c>
      <c r="AR104" s="40">
        <f t="shared" si="213"/>
        <v>0</v>
      </c>
      <c r="AS104" s="40">
        <f t="shared" si="213"/>
        <v>0</v>
      </c>
      <c r="AT104" s="40">
        <f t="shared" si="213"/>
        <v>0</v>
      </c>
      <c r="AU104" s="237">
        <f t="shared" si="213"/>
        <v>0</v>
      </c>
      <c r="AV104" s="40">
        <f t="shared" si="213"/>
        <v>0</v>
      </c>
      <c r="AW104" s="40">
        <f t="shared" si="213"/>
        <v>0</v>
      </c>
      <c r="AX104" s="40">
        <f t="shared" si="213"/>
        <v>0</v>
      </c>
      <c r="AY104" s="40">
        <f t="shared" si="213"/>
        <v>0</v>
      </c>
      <c r="AZ104" s="237">
        <f t="shared" si="213"/>
        <v>0</v>
      </c>
      <c r="BA104" s="40">
        <f t="shared" si="213"/>
        <v>0</v>
      </c>
      <c r="BB104" s="40">
        <f t="shared" si="213"/>
        <v>0</v>
      </c>
      <c r="BC104" s="40">
        <f t="shared" si="213"/>
        <v>0</v>
      </c>
      <c r="BD104" s="40">
        <f t="shared" si="213"/>
        <v>0</v>
      </c>
      <c r="BE104" s="237">
        <f t="shared" si="213"/>
        <v>0</v>
      </c>
      <c r="BF104" s="40">
        <f t="shared" si="213"/>
        <v>0</v>
      </c>
      <c r="BG104" s="40">
        <f t="shared" si="213"/>
        <v>0</v>
      </c>
      <c r="BH104" s="40">
        <f t="shared" si="213"/>
        <v>0</v>
      </c>
      <c r="BI104" s="40">
        <f t="shared" si="213"/>
        <v>0</v>
      </c>
      <c r="BJ104" s="237">
        <f t="shared" si="213"/>
        <v>0</v>
      </c>
      <c r="BK104" s="40">
        <f t="shared" si="213"/>
        <v>0</v>
      </c>
      <c r="BL104" s="40">
        <f>BL65</f>
        <v>0</v>
      </c>
      <c r="BM104" s="40">
        <f>BM65</f>
        <v>0</v>
      </c>
      <c r="BN104" s="368">
        <f t="shared" si="213"/>
        <v>0</v>
      </c>
      <c r="BO104" s="369">
        <f t="shared" si="213"/>
        <v>0</v>
      </c>
      <c r="BP104" s="368">
        <f t="shared" si="213"/>
        <v>0</v>
      </c>
      <c r="BQ104" s="368">
        <f t="shared" si="213"/>
        <v>0</v>
      </c>
      <c r="BR104" s="368">
        <f t="shared" si="213"/>
        <v>0</v>
      </c>
      <c r="BS104" s="368">
        <f t="shared" si="213"/>
        <v>0</v>
      </c>
      <c r="BT104" s="369">
        <f t="shared" si="213"/>
        <v>0</v>
      </c>
    </row>
    <row r="105" spans="1:72" s="182" customFormat="1" ht="13">
      <c r="A105" s="676">
        <f t="shared" si="171"/>
        <v>99</v>
      </c>
      <c r="B105" s="183" t="s">
        <v>223</v>
      </c>
      <c r="E105" s="237">
        <f t="shared" ref="E105:AF105" si="214">E103-E104</f>
        <v>0</v>
      </c>
      <c r="F105" s="237">
        <f t="shared" si="214"/>
        <v>0</v>
      </c>
      <c r="G105" s="237">
        <f t="shared" si="214"/>
        <v>0</v>
      </c>
      <c r="H105" s="40">
        <f t="shared" si="214"/>
        <v>0</v>
      </c>
      <c r="I105" s="40">
        <f t="shared" si="214"/>
        <v>0</v>
      </c>
      <c r="J105" s="40">
        <f t="shared" si="214"/>
        <v>0</v>
      </c>
      <c r="K105" s="40">
        <f t="shared" si="214"/>
        <v>0</v>
      </c>
      <c r="L105" s="237">
        <f t="shared" si="214"/>
        <v>0</v>
      </c>
      <c r="M105" s="40">
        <f t="shared" si="214"/>
        <v>0</v>
      </c>
      <c r="N105" s="40">
        <f t="shared" si="214"/>
        <v>0</v>
      </c>
      <c r="O105" s="40">
        <f t="shared" si="214"/>
        <v>0</v>
      </c>
      <c r="P105" s="40">
        <f t="shared" si="214"/>
        <v>0</v>
      </c>
      <c r="Q105" s="237">
        <f t="shared" si="214"/>
        <v>0</v>
      </c>
      <c r="R105" s="40">
        <f t="shared" si="214"/>
        <v>0</v>
      </c>
      <c r="S105" s="40">
        <f t="shared" si="214"/>
        <v>0</v>
      </c>
      <c r="T105" s="40">
        <f t="shared" si="214"/>
        <v>0</v>
      </c>
      <c r="U105" s="40">
        <f>U103-U104</f>
        <v>0</v>
      </c>
      <c r="V105" s="237">
        <f>V103-V104</f>
        <v>0</v>
      </c>
      <c r="W105" s="40">
        <f t="shared" si="214"/>
        <v>0</v>
      </c>
      <c r="X105" s="40">
        <f>X103-X104</f>
        <v>0</v>
      </c>
      <c r="Y105" s="40">
        <f>Y103-Y104</f>
        <v>0</v>
      </c>
      <c r="Z105" s="40">
        <f>Z103-Z104</f>
        <v>0</v>
      </c>
      <c r="AA105" s="237">
        <f>AA103-AA104</f>
        <v>0</v>
      </c>
      <c r="AB105" s="40">
        <f t="shared" si="214"/>
        <v>0</v>
      </c>
      <c r="AC105" s="40">
        <f>AC103-AC104</f>
        <v>0</v>
      </c>
      <c r="AD105" s="40">
        <f>AD103-AD104</f>
        <v>0</v>
      </c>
      <c r="AE105" s="40">
        <f>AE103-AE104</f>
        <v>0</v>
      </c>
      <c r="AF105" s="237">
        <f t="shared" si="214"/>
        <v>0</v>
      </c>
      <c r="AG105" s="40">
        <f t="shared" ref="AG105:AQ105" si="215">AG103-AG104</f>
        <v>0</v>
      </c>
      <c r="AH105" s="40">
        <f t="shared" si="215"/>
        <v>0</v>
      </c>
      <c r="AI105" s="40">
        <f t="shared" si="215"/>
        <v>0</v>
      </c>
      <c r="AJ105" s="40">
        <f t="shared" si="215"/>
        <v>0</v>
      </c>
      <c r="AK105" s="237">
        <f t="shared" si="215"/>
        <v>0</v>
      </c>
      <c r="AL105" s="40">
        <f t="shared" si="215"/>
        <v>0</v>
      </c>
      <c r="AM105" s="40">
        <f t="shared" si="215"/>
        <v>0</v>
      </c>
      <c r="AN105" s="40">
        <f t="shared" si="215"/>
        <v>0</v>
      </c>
      <c r="AO105" s="40">
        <f t="shared" si="215"/>
        <v>0</v>
      </c>
      <c r="AP105" s="237">
        <f t="shared" si="215"/>
        <v>0</v>
      </c>
      <c r="AQ105" s="40">
        <f t="shared" si="215"/>
        <v>0</v>
      </c>
      <c r="AR105" s="40">
        <f t="shared" ref="AR105:AW105" si="216">AR103-AR104</f>
        <v>0</v>
      </c>
      <c r="AS105" s="40">
        <f t="shared" si="216"/>
        <v>0</v>
      </c>
      <c r="AT105" s="40">
        <f t="shared" si="216"/>
        <v>0</v>
      </c>
      <c r="AU105" s="237">
        <f t="shared" si="216"/>
        <v>0</v>
      </c>
      <c r="AV105" s="40">
        <f t="shared" si="216"/>
        <v>0</v>
      </c>
      <c r="AW105" s="40">
        <f t="shared" si="216"/>
        <v>0</v>
      </c>
      <c r="AX105" s="40">
        <f t="shared" ref="AX105:BG105" si="217">AX103-AX104</f>
        <v>0</v>
      </c>
      <c r="AY105" s="40">
        <f t="shared" si="217"/>
        <v>0</v>
      </c>
      <c r="AZ105" s="237">
        <f t="shared" si="217"/>
        <v>0</v>
      </c>
      <c r="BA105" s="40">
        <f t="shared" si="217"/>
        <v>0</v>
      </c>
      <c r="BB105" s="40">
        <f t="shared" si="217"/>
        <v>0</v>
      </c>
      <c r="BC105" s="40">
        <f t="shared" si="217"/>
        <v>0</v>
      </c>
      <c r="BD105" s="40">
        <f t="shared" si="217"/>
        <v>0</v>
      </c>
      <c r="BE105" s="237">
        <f t="shared" si="217"/>
        <v>0</v>
      </c>
      <c r="BF105" s="40">
        <f t="shared" si="217"/>
        <v>0</v>
      </c>
      <c r="BG105" s="40">
        <f t="shared" si="217"/>
        <v>0</v>
      </c>
      <c r="BH105" s="40">
        <f t="shared" ref="BH105:BT105" si="218">BH103-BH104</f>
        <v>0</v>
      </c>
      <c r="BI105" s="40">
        <f t="shared" si="218"/>
        <v>0</v>
      </c>
      <c r="BJ105" s="237">
        <f t="shared" si="218"/>
        <v>0</v>
      </c>
      <c r="BK105" s="40">
        <f t="shared" si="218"/>
        <v>0</v>
      </c>
      <c r="BL105" s="40">
        <f t="shared" si="218"/>
        <v>0</v>
      </c>
      <c r="BM105" s="40">
        <f>BM103-BM104</f>
        <v>0</v>
      </c>
      <c r="BN105" s="368">
        <f t="shared" si="218"/>
        <v>0</v>
      </c>
      <c r="BO105" s="369">
        <f t="shared" si="218"/>
        <v>0</v>
      </c>
      <c r="BP105" s="368">
        <f t="shared" si="218"/>
        <v>0</v>
      </c>
      <c r="BQ105" s="368">
        <f t="shared" si="218"/>
        <v>0</v>
      </c>
      <c r="BR105" s="368">
        <f t="shared" si="218"/>
        <v>0</v>
      </c>
      <c r="BS105" s="368">
        <f t="shared" si="218"/>
        <v>0</v>
      </c>
      <c r="BT105" s="369">
        <f t="shared" si="218"/>
        <v>0</v>
      </c>
    </row>
    <row r="106" spans="1:72" s="182" customFormat="1" ht="13">
      <c r="A106" s="676">
        <f t="shared" si="171"/>
        <v>100</v>
      </c>
      <c r="E106" s="237"/>
      <c r="F106" s="237"/>
      <c r="G106" s="237"/>
      <c r="H106" s="40"/>
      <c r="I106" s="40"/>
      <c r="J106" s="40"/>
      <c r="K106" s="40"/>
      <c r="L106" s="237"/>
      <c r="M106" s="40"/>
      <c r="N106" s="40"/>
      <c r="O106" s="40"/>
      <c r="P106" s="40"/>
      <c r="Q106" s="237"/>
      <c r="R106" s="40"/>
      <c r="S106" s="40"/>
      <c r="T106" s="40"/>
      <c r="U106" s="40"/>
      <c r="V106" s="237"/>
      <c r="W106" s="40"/>
      <c r="X106" s="40"/>
      <c r="Y106" s="40"/>
      <c r="Z106" s="40"/>
      <c r="AA106" s="237"/>
      <c r="AB106" s="40"/>
      <c r="AC106" s="40"/>
      <c r="AD106" s="40"/>
      <c r="AE106" s="40"/>
      <c r="AF106" s="237"/>
      <c r="AG106" s="40"/>
      <c r="AH106" s="40"/>
      <c r="AI106" s="40"/>
      <c r="AJ106" s="40"/>
      <c r="AK106" s="237"/>
      <c r="AL106" s="40"/>
      <c r="AM106" s="40"/>
      <c r="AN106" s="40"/>
      <c r="AO106" s="40"/>
      <c r="AP106" s="237"/>
      <c r="AQ106" s="40"/>
      <c r="AR106" s="40"/>
      <c r="AS106" s="40"/>
      <c r="AT106" s="40"/>
      <c r="AU106" s="237"/>
      <c r="AV106" s="40"/>
      <c r="AW106" s="40"/>
      <c r="AX106" s="40"/>
      <c r="AY106" s="40"/>
      <c r="AZ106" s="237"/>
      <c r="BA106" s="40"/>
      <c r="BB106" s="40"/>
      <c r="BC106" s="40"/>
      <c r="BD106" s="40"/>
      <c r="BE106" s="237"/>
      <c r="BF106" s="40"/>
      <c r="BG106" s="40"/>
      <c r="BH106" s="40"/>
      <c r="BI106" s="40"/>
      <c r="BJ106" s="237"/>
      <c r="BK106" s="40"/>
      <c r="BL106" s="40"/>
      <c r="BM106" s="40"/>
      <c r="BN106" s="368"/>
      <c r="BO106" s="369"/>
      <c r="BP106" s="368"/>
      <c r="BQ106" s="368"/>
      <c r="BR106" s="368"/>
      <c r="BS106" s="368"/>
      <c r="BT106" s="369"/>
    </row>
    <row r="107" spans="1:72" s="182" customFormat="1" ht="13">
      <c r="A107" s="676">
        <f t="shared" si="171"/>
        <v>101</v>
      </c>
      <c r="B107" s="183" t="s">
        <v>224</v>
      </c>
      <c r="E107" s="237">
        <f t="shared" ref="E107:AJ107" si="219">E70</f>
        <v>0</v>
      </c>
      <c r="F107" s="237">
        <f t="shared" si="219"/>
        <v>0</v>
      </c>
      <c r="G107" s="237">
        <f t="shared" si="219"/>
        <v>0</v>
      </c>
      <c r="H107" s="40">
        <f t="shared" si="219"/>
        <v>0</v>
      </c>
      <c r="I107" s="40">
        <f t="shared" si="219"/>
        <v>0</v>
      </c>
      <c r="J107" s="40">
        <f t="shared" si="219"/>
        <v>0</v>
      </c>
      <c r="K107" s="40">
        <f t="shared" si="219"/>
        <v>0</v>
      </c>
      <c r="L107" s="237">
        <f t="shared" si="219"/>
        <v>0</v>
      </c>
      <c r="M107" s="40">
        <f t="shared" si="219"/>
        <v>0</v>
      </c>
      <c r="N107" s="40">
        <f t="shared" si="219"/>
        <v>0</v>
      </c>
      <c r="O107" s="40">
        <f t="shared" si="219"/>
        <v>0</v>
      </c>
      <c r="P107" s="40">
        <f t="shared" si="219"/>
        <v>0</v>
      </c>
      <c r="Q107" s="237">
        <f t="shared" si="219"/>
        <v>0</v>
      </c>
      <c r="R107" s="40">
        <f t="shared" si="219"/>
        <v>0</v>
      </c>
      <c r="S107" s="40">
        <f t="shared" si="219"/>
        <v>0</v>
      </c>
      <c r="T107" s="40">
        <f t="shared" si="219"/>
        <v>0</v>
      </c>
      <c r="U107" s="40">
        <f t="shared" si="219"/>
        <v>0</v>
      </c>
      <c r="V107" s="237">
        <f t="shared" si="219"/>
        <v>0</v>
      </c>
      <c r="W107" s="40">
        <f t="shared" si="219"/>
        <v>0</v>
      </c>
      <c r="X107" s="40">
        <f t="shared" si="219"/>
        <v>0</v>
      </c>
      <c r="Y107" s="40">
        <f t="shared" si="219"/>
        <v>0</v>
      </c>
      <c r="Z107" s="40">
        <f t="shared" si="219"/>
        <v>0</v>
      </c>
      <c r="AA107" s="237">
        <f t="shared" si="219"/>
        <v>0</v>
      </c>
      <c r="AB107" s="40">
        <f t="shared" si="219"/>
        <v>0</v>
      </c>
      <c r="AC107" s="40">
        <f t="shared" si="219"/>
        <v>0</v>
      </c>
      <c r="AD107" s="40">
        <f t="shared" si="219"/>
        <v>0</v>
      </c>
      <c r="AE107" s="40">
        <f t="shared" si="219"/>
        <v>0</v>
      </c>
      <c r="AF107" s="237">
        <f t="shared" si="219"/>
        <v>0</v>
      </c>
      <c r="AG107" s="40">
        <f t="shared" si="219"/>
        <v>0</v>
      </c>
      <c r="AH107" s="40">
        <f t="shared" si="219"/>
        <v>0</v>
      </c>
      <c r="AI107" s="40">
        <f t="shared" si="219"/>
        <v>0</v>
      </c>
      <c r="AJ107" s="40">
        <f t="shared" si="219"/>
        <v>0</v>
      </c>
      <c r="AK107" s="237">
        <f t="shared" ref="AK107:BN107" si="220">AK70</f>
        <v>0</v>
      </c>
      <c r="AL107" s="40">
        <f t="shared" si="220"/>
        <v>0</v>
      </c>
      <c r="AM107" s="40">
        <f t="shared" si="220"/>
        <v>0</v>
      </c>
      <c r="AN107" s="40">
        <f t="shared" si="220"/>
        <v>0</v>
      </c>
      <c r="AO107" s="40">
        <f t="shared" si="220"/>
        <v>0</v>
      </c>
      <c r="AP107" s="237">
        <f t="shared" si="220"/>
        <v>0</v>
      </c>
      <c r="AQ107" s="40">
        <f t="shared" si="220"/>
        <v>0</v>
      </c>
      <c r="AR107" s="40">
        <f t="shared" si="220"/>
        <v>0</v>
      </c>
      <c r="AS107" s="40">
        <f t="shared" si="220"/>
        <v>0</v>
      </c>
      <c r="AT107" s="40">
        <f t="shared" si="220"/>
        <v>0</v>
      </c>
      <c r="AU107" s="237">
        <f t="shared" si="220"/>
        <v>0</v>
      </c>
      <c r="AV107" s="40">
        <f t="shared" si="220"/>
        <v>0</v>
      </c>
      <c r="AW107" s="40">
        <f t="shared" si="220"/>
        <v>0</v>
      </c>
      <c r="AX107" s="40">
        <f t="shared" si="220"/>
        <v>0</v>
      </c>
      <c r="AY107" s="40">
        <f t="shared" si="220"/>
        <v>0</v>
      </c>
      <c r="AZ107" s="237">
        <f t="shared" si="220"/>
        <v>0</v>
      </c>
      <c r="BA107" s="40">
        <f t="shared" si="220"/>
        <v>0</v>
      </c>
      <c r="BB107" s="40">
        <f t="shared" si="220"/>
        <v>0</v>
      </c>
      <c r="BC107" s="40">
        <f t="shared" si="220"/>
        <v>0</v>
      </c>
      <c r="BD107" s="40">
        <f t="shared" si="220"/>
        <v>0</v>
      </c>
      <c r="BE107" s="237">
        <f t="shared" si="220"/>
        <v>0</v>
      </c>
      <c r="BF107" s="40">
        <f t="shared" si="220"/>
        <v>0</v>
      </c>
      <c r="BG107" s="40">
        <f t="shared" si="220"/>
        <v>0</v>
      </c>
      <c r="BH107" s="40">
        <f t="shared" si="220"/>
        <v>0</v>
      </c>
      <c r="BI107" s="40">
        <f t="shared" si="220"/>
        <v>0</v>
      </c>
      <c r="BJ107" s="237">
        <f t="shared" si="220"/>
        <v>0</v>
      </c>
      <c r="BK107" s="40">
        <f t="shared" si="220"/>
        <v>0</v>
      </c>
      <c r="BL107" s="40">
        <f>BL70</f>
        <v>0</v>
      </c>
      <c r="BM107" s="40">
        <f>BM70</f>
        <v>0</v>
      </c>
      <c r="BN107" s="368">
        <f t="shared" si="220"/>
        <v>0</v>
      </c>
      <c r="BO107" s="369">
        <f>SUM(BK107:BN107)</f>
        <v>0</v>
      </c>
      <c r="BP107" s="368">
        <f>BP70</f>
        <v>0</v>
      </c>
      <c r="BQ107" s="368">
        <f>BQ70</f>
        <v>0</v>
      </c>
      <c r="BR107" s="368">
        <f>BR70</f>
        <v>0</v>
      </c>
      <c r="BS107" s="368">
        <f>BS70</f>
        <v>0</v>
      </c>
      <c r="BT107" s="369">
        <f>SUM(BP107:BS107)</f>
        <v>0</v>
      </c>
    </row>
    <row r="108" spans="1:72" s="182" customFormat="1" ht="13">
      <c r="A108" s="676">
        <f t="shared" si="171"/>
        <v>102</v>
      </c>
      <c r="B108" s="183" t="s">
        <v>200</v>
      </c>
      <c r="E108" s="237">
        <f t="shared" ref="E108:AJ108" si="221">E72</f>
        <v>0</v>
      </c>
      <c r="F108" s="237">
        <f t="shared" si="221"/>
        <v>0</v>
      </c>
      <c r="G108" s="237">
        <f t="shared" si="221"/>
        <v>0</v>
      </c>
      <c r="H108" s="40">
        <f t="shared" si="221"/>
        <v>0</v>
      </c>
      <c r="I108" s="40">
        <f t="shared" si="221"/>
        <v>0</v>
      </c>
      <c r="J108" s="40">
        <f t="shared" si="221"/>
        <v>0</v>
      </c>
      <c r="K108" s="40">
        <f t="shared" si="221"/>
        <v>0</v>
      </c>
      <c r="L108" s="237">
        <f t="shared" si="221"/>
        <v>0</v>
      </c>
      <c r="M108" s="40">
        <f t="shared" si="221"/>
        <v>0</v>
      </c>
      <c r="N108" s="40">
        <f t="shared" si="221"/>
        <v>0</v>
      </c>
      <c r="O108" s="40">
        <f t="shared" si="221"/>
        <v>0</v>
      </c>
      <c r="P108" s="40">
        <f t="shared" si="221"/>
        <v>0</v>
      </c>
      <c r="Q108" s="237">
        <f t="shared" si="221"/>
        <v>0</v>
      </c>
      <c r="R108" s="40">
        <f t="shared" si="221"/>
        <v>0</v>
      </c>
      <c r="S108" s="40">
        <f t="shared" si="221"/>
        <v>0</v>
      </c>
      <c r="T108" s="40">
        <f t="shared" si="221"/>
        <v>0</v>
      </c>
      <c r="U108" s="40">
        <f t="shared" si="221"/>
        <v>0</v>
      </c>
      <c r="V108" s="237">
        <f t="shared" si="221"/>
        <v>0</v>
      </c>
      <c r="W108" s="40">
        <f t="shared" si="221"/>
        <v>0</v>
      </c>
      <c r="X108" s="40">
        <f t="shared" si="221"/>
        <v>0</v>
      </c>
      <c r="Y108" s="40">
        <f t="shared" si="221"/>
        <v>0</v>
      </c>
      <c r="Z108" s="40">
        <f t="shared" si="221"/>
        <v>0</v>
      </c>
      <c r="AA108" s="237">
        <f t="shared" si="221"/>
        <v>0</v>
      </c>
      <c r="AB108" s="40">
        <f t="shared" si="221"/>
        <v>0</v>
      </c>
      <c r="AC108" s="40">
        <f t="shared" si="221"/>
        <v>0</v>
      </c>
      <c r="AD108" s="40">
        <f t="shared" si="221"/>
        <v>0</v>
      </c>
      <c r="AE108" s="40">
        <f t="shared" si="221"/>
        <v>0</v>
      </c>
      <c r="AF108" s="237">
        <f t="shared" si="221"/>
        <v>0</v>
      </c>
      <c r="AG108" s="40">
        <f t="shared" si="221"/>
        <v>0</v>
      </c>
      <c r="AH108" s="40">
        <f t="shared" si="221"/>
        <v>0</v>
      </c>
      <c r="AI108" s="40">
        <f t="shared" si="221"/>
        <v>0</v>
      </c>
      <c r="AJ108" s="40">
        <f t="shared" si="221"/>
        <v>0</v>
      </c>
      <c r="AK108" s="237">
        <f t="shared" ref="AK108:BT108" si="222">AK72</f>
        <v>0</v>
      </c>
      <c r="AL108" s="40">
        <f t="shared" si="222"/>
        <v>0</v>
      </c>
      <c r="AM108" s="40">
        <f t="shared" si="222"/>
        <v>0</v>
      </c>
      <c r="AN108" s="40">
        <f t="shared" si="222"/>
        <v>0</v>
      </c>
      <c r="AO108" s="40">
        <f t="shared" si="222"/>
        <v>0</v>
      </c>
      <c r="AP108" s="237">
        <f t="shared" si="222"/>
        <v>0</v>
      </c>
      <c r="AQ108" s="40">
        <f t="shared" si="222"/>
        <v>0</v>
      </c>
      <c r="AR108" s="40">
        <f t="shared" si="222"/>
        <v>0</v>
      </c>
      <c r="AS108" s="40">
        <f t="shared" si="222"/>
        <v>0</v>
      </c>
      <c r="AT108" s="40">
        <f t="shared" si="222"/>
        <v>0</v>
      </c>
      <c r="AU108" s="237">
        <f t="shared" si="222"/>
        <v>0</v>
      </c>
      <c r="AV108" s="40">
        <f t="shared" si="222"/>
        <v>0</v>
      </c>
      <c r="AW108" s="40">
        <f t="shared" si="222"/>
        <v>0</v>
      </c>
      <c r="AX108" s="40">
        <f t="shared" si="222"/>
        <v>0</v>
      </c>
      <c r="AY108" s="40">
        <f t="shared" si="222"/>
        <v>0</v>
      </c>
      <c r="AZ108" s="237">
        <f t="shared" si="222"/>
        <v>0</v>
      </c>
      <c r="BA108" s="40">
        <f t="shared" si="222"/>
        <v>0</v>
      </c>
      <c r="BB108" s="40">
        <f t="shared" si="222"/>
        <v>0</v>
      </c>
      <c r="BC108" s="40">
        <f t="shared" si="222"/>
        <v>0</v>
      </c>
      <c r="BD108" s="40">
        <f t="shared" si="222"/>
        <v>0</v>
      </c>
      <c r="BE108" s="237">
        <f t="shared" si="222"/>
        <v>0</v>
      </c>
      <c r="BF108" s="40">
        <f t="shared" si="222"/>
        <v>0</v>
      </c>
      <c r="BG108" s="40">
        <f t="shared" si="222"/>
        <v>0</v>
      </c>
      <c r="BH108" s="40">
        <f t="shared" si="222"/>
        <v>0</v>
      </c>
      <c r="BI108" s="40">
        <f t="shared" si="222"/>
        <v>0</v>
      </c>
      <c r="BJ108" s="237">
        <f t="shared" si="222"/>
        <v>0</v>
      </c>
      <c r="BK108" s="40">
        <f t="shared" si="222"/>
        <v>0</v>
      </c>
      <c r="BL108" s="40">
        <f>BL72</f>
        <v>0</v>
      </c>
      <c r="BM108" s="40">
        <f>BM72</f>
        <v>0</v>
      </c>
      <c r="BN108" s="368">
        <f t="shared" si="222"/>
        <v>0</v>
      </c>
      <c r="BO108" s="369">
        <f t="shared" si="222"/>
        <v>0</v>
      </c>
      <c r="BP108" s="368">
        <f t="shared" si="222"/>
        <v>0</v>
      </c>
      <c r="BQ108" s="368">
        <f t="shared" si="222"/>
        <v>0</v>
      </c>
      <c r="BR108" s="368">
        <f t="shared" si="222"/>
        <v>0</v>
      </c>
      <c r="BS108" s="368">
        <f t="shared" si="222"/>
        <v>0</v>
      </c>
      <c r="BT108" s="369">
        <f t="shared" si="222"/>
        <v>0</v>
      </c>
    </row>
    <row r="109" spans="1:72" s="182" customFormat="1" ht="13">
      <c r="A109" s="676">
        <f t="shared" si="171"/>
        <v>103</v>
      </c>
      <c r="B109" s="183"/>
      <c r="E109" s="237"/>
      <c r="F109" s="237"/>
      <c r="G109" s="237"/>
      <c r="H109" s="40"/>
      <c r="I109" s="40"/>
      <c r="J109" s="40"/>
      <c r="K109" s="40"/>
      <c r="L109" s="237"/>
      <c r="M109" s="40"/>
      <c r="N109" s="40"/>
      <c r="O109" s="40"/>
      <c r="P109" s="40"/>
      <c r="Q109" s="237"/>
      <c r="R109" s="40"/>
      <c r="S109" s="40"/>
      <c r="T109" s="40"/>
      <c r="U109" s="40"/>
      <c r="V109" s="237"/>
      <c r="W109" s="40"/>
      <c r="X109" s="40"/>
      <c r="Y109" s="40"/>
      <c r="Z109" s="40"/>
      <c r="AA109" s="237"/>
      <c r="AB109" s="40"/>
      <c r="AC109" s="40"/>
      <c r="AD109" s="40"/>
      <c r="AE109" s="40"/>
      <c r="AF109" s="237"/>
      <c r="AG109" s="40"/>
      <c r="AH109" s="40"/>
      <c r="AI109" s="40"/>
      <c r="AJ109" s="40"/>
      <c r="AK109" s="237"/>
      <c r="AL109" s="40"/>
      <c r="AM109" s="40"/>
      <c r="AN109" s="40"/>
      <c r="AO109" s="40"/>
      <c r="AP109" s="237"/>
      <c r="AQ109" s="40"/>
      <c r="AR109" s="40"/>
      <c r="AS109" s="40"/>
      <c r="AT109" s="40"/>
      <c r="AU109" s="237"/>
      <c r="AV109" s="40"/>
      <c r="AW109" s="40"/>
      <c r="AX109" s="40"/>
      <c r="AY109" s="40"/>
      <c r="AZ109" s="237"/>
      <c r="BA109" s="40"/>
      <c r="BB109" s="40"/>
      <c r="BC109" s="40"/>
      <c r="BD109" s="40"/>
      <c r="BE109" s="237"/>
      <c r="BF109" s="40"/>
      <c r="BG109" s="40"/>
      <c r="BH109" s="40"/>
      <c r="BI109" s="40"/>
      <c r="BJ109" s="237"/>
      <c r="BK109" s="40"/>
      <c r="BL109" s="40"/>
      <c r="BM109" s="40"/>
      <c r="BN109" s="368"/>
      <c r="BO109" s="369"/>
      <c r="BP109" s="368"/>
      <c r="BQ109" s="368"/>
      <c r="BR109" s="368"/>
      <c r="BS109" s="368"/>
      <c r="BT109" s="369"/>
    </row>
    <row r="110" spans="1:72" s="182" customFormat="1" ht="13">
      <c r="A110" s="676">
        <f t="shared" si="171"/>
        <v>104</v>
      </c>
      <c r="B110" s="220" t="s">
        <v>225</v>
      </c>
      <c r="C110" s="33"/>
      <c r="D110" s="33"/>
      <c r="E110" s="145"/>
      <c r="F110" s="145"/>
      <c r="G110" s="145"/>
      <c r="H110" s="37"/>
      <c r="I110" s="37"/>
      <c r="J110" s="37"/>
      <c r="K110" s="269"/>
      <c r="L110" s="145"/>
      <c r="M110" s="37"/>
      <c r="N110" s="37"/>
      <c r="O110" s="37"/>
      <c r="P110" s="269"/>
      <c r="Q110" s="145"/>
      <c r="R110" s="37"/>
      <c r="S110" s="37"/>
      <c r="T110" s="37"/>
      <c r="U110" s="37"/>
      <c r="V110" s="145"/>
      <c r="W110" s="37"/>
      <c r="X110" s="37"/>
      <c r="Y110" s="37"/>
      <c r="Z110" s="37"/>
      <c r="AA110" s="145"/>
      <c r="AB110" s="37"/>
      <c r="AC110" s="37"/>
      <c r="AD110" s="37"/>
      <c r="AE110" s="37"/>
      <c r="AF110" s="145">
        <f>SUM(AB110:AE110)</f>
        <v>0</v>
      </c>
      <c r="AG110" s="37"/>
      <c r="AH110" s="37"/>
      <c r="AI110" s="37"/>
      <c r="AJ110" s="37"/>
      <c r="AK110" s="145">
        <f>SUM(AG110:AJ110)</f>
        <v>0</v>
      </c>
      <c r="AL110" s="37"/>
      <c r="AM110" s="37"/>
      <c r="AN110" s="37"/>
      <c r="AO110" s="37"/>
      <c r="AP110" s="145">
        <f>SUM(AL110:AO110)</f>
        <v>0</v>
      </c>
      <c r="AQ110" s="37"/>
      <c r="AR110" s="37"/>
      <c r="AS110" s="37"/>
      <c r="AT110" s="37"/>
      <c r="AU110" s="145">
        <f>SUM(AQ110:AT110)</f>
        <v>0</v>
      </c>
      <c r="AV110" s="37"/>
      <c r="AW110" s="37"/>
      <c r="AX110" s="37"/>
      <c r="AY110" s="37"/>
      <c r="AZ110" s="145">
        <f>SUM(AV110:AY110)</f>
        <v>0</v>
      </c>
      <c r="BA110" s="37"/>
      <c r="BB110" s="37"/>
      <c r="BC110" s="37"/>
      <c r="BD110" s="37"/>
      <c r="BE110" s="145">
        <f>SUM(BA110:BD110)</f>
        <v>0</v>
      </c>
      <c r="BF110" s="37"/>
      <c r="BG110" s="37"/>
      <c r="BH110" s="37"/>
      <c r="BI110" s="37"/>
      <c r="BJ110" s="145">
        <f>SUM(BF110:BI110)</f>
        <v>0</v>
      </c>
      <c r="BK110" s="37"/>
      <c r="BL110" s="37"/>
      <c r="BM110" s="37"/>
      <c r="BN110" s="416">
        <f>BI110</f>
        <v>0</v>
      </c>
      <c r="BO110" s="417">
        <f>SUM(BK110:BN110)</f>
        <v>0</v>
      </c>
      <c r="BP110" s="416">
        <f>BK110</f>
        <v>0</v>
      </c>
      <c r="BQ110" s="416">
        <f>BL110</f>
        <v>0</v>
      </c>
      <c r="BR110" s="416">
        <f>BM110</f>
        <v>0</v>
      </c>
      <c r="BS110" s="416">
        <f>BN110</f>
        <v>0</v>
      </c>
      <c r="BT110" s="417">
        <f>SUM(BP110:BS110)</f>
        <v>0</v>
      </c>
    </row>
    <row r="111" spans="1:72" s="182" customFormat="1" ht="13">
      <c r="A111" s="676">
        <f t="shared" si="171"/>
        <v>105</v>
      </c>
      <c r="B111" s="220" t="s">
        <v>226</v>
      </c>
      <c r="C111" s="33"/>
      <c r="D111" s="33"/>
      <c r="E111" s="145"/>
      <c r="F111" s="145"/>
      <c r="G111" s="145"/>
      <c r="H111" s="37"/>
      <c r="I111" s="37"/>
      <c r="J111" s="37"/>
      <c r="K111" s="240"/>
      <c r="L111" s="145"/>
      <c r="M111" s="37"/>
      <c r="N111" s="37"/>
      <c r="O111" s="37"/>
      <c r="P111" s="240"/>
      <c r="Q111" s="145"/>
      <c r="R111" s="37"/>
      <c r="S111" s="37"/>
      <c r="T111" s="37"/>
      <c r="U111" s="37"/>
      <c r="V111" s="145"/>
      <c r="W111" s="37"/>
      <c r="X111" s="37"/>
      <c r="Y111" s="37"/>
      <c r="Z111" s="37"/>
      <c r="AA111" s="145"/>
      <c r="AB111" s="37"/>
      <c r="AC111" s="37"/>
      <c r="AD111" s="37"/>
      <c r="AE111" s="37"/>
      <c r="AF111" s="145"/>
      <c r="AG111" s="37"/>
      <c r="AH111" s="37"/>
      <c r="AI111" s="37"/>
      <c r="AJ111" s="37"/>
      <c r="AK111" s="145"/>
      <c r="AL111" s="37"/>
      <c r="AM111" s="37"/>
      <c r="AN111" s="37"/>
      <c r="AO111" s="37"/>
      <c r="AP111" s="145"/>
      <c r="AQ111" s="37"/>
      <c r="AR111" s="37"/>
      <c r="AS111" s="37"/>
      <c r="AT111" s="37"/>
      <c r="AU111" s="145"/>
      <c r="AV111" s="37"/>
      <c r="AW111" s="37"/>
      <c r="AX111" s="37"/>
      <c r="AY111" s="37"/>
      <c r="AZ111" s="145"/>
      <c r="BA111" s="37"/>
      <c r="BB111" s="37"/>
      <c r="BC111" s="37"/>
      <c r="BD111" s="37"/>
      <c r="BE111" s="145"/>
      <c r="BF111" s="37"/>
      <c r="BG111" s="37"/>
      <c r="BH111" s="37"/>
      <c r="BI111" s="37"/>
      <c r="BJ111" s="145"/>
      <c r="BK111" s="37"/>
      <c r="BL111" s="37"/>
      <c r="BM111" s="37"/>
      <c r="BN111" s="416"/>
      <c r="BO111" s="417"/>
      <c r="BP111" s="416"/>
      <c r="BQ111" s="416"/>
      <c r="BR111" s="416"/>
      <c r="BS111" s="416"/>
      <c r="BT111" s="417"/>
    </row>
    <row r="112" spans="1:72" s="182" customFormat="1" ht="13">
      <c r="A112" s="676">
        <f t="shared" si="171"/>
        <v>106</v>
      </c>
      <c r="E112" s="237"/>
      <c r="F112" s="237"/>
      <c r="G112" s="237"/>
      <c r="H112" s="40"/>
      <c r="I112" s="40"/>
      <c r="J112" s="40"/>
      <c r="K112" s="40"/>
      <c r="L112" s="237"/>
      <c r="M112" s="40"/>
      <c r="N112" s="40"/>
      <c r="O112" s="40"/>
      <c r="P112" s="40"/>
      <c r="Q112" s="237"/>
      <c r="R112" s="40"/>
      <c r="S112" s="40"/>
      <c r="T112" s="40"/>
      <c r="U112" s="40"/>
      <c r="V112" s="237"/>
      <c r="W112" s="40"/>
      <c r="X112" s="40"/>
      <c r="Y112" s="40"/>
      <c r="Z112" s="40"/>
      <c r="AA112" s="237"/>
      <c r="AB112" s="40"/>
      <c r="AC112" s="40"/>
      <c r="AD112" s="40"/>
      <c r="AE112" s="40"/>
      <c r="AF112" s="237"/>
      <c r="AG112" s="40"/>
      <c r="AH112" s="40"/>
      <c r="AI112" s="40"/>
      <c r="AJ112" s="40"/>
      <c r="AK112" s="237"/>
      <c r="AL112" s="40"/>
      <c r="AM112" s="40"/>
      <c r="AN112" s="40"/>
      <c r="AO112" s="40"/>
      <c r="AP112" s="237"/>
      <c r="AQ112" s="40"/>
      <c r="AR112" s="40"/>
      <c r="AS112" s="40"/>
      <c r="AT112" s="40"/>
      <c r="AU112" s="237"/>
      <c r="AV112" s="40"/>
      <c r="AW112" s="40"/>
      <c r="AX112" s="40"/>
      <c r="AY112" s="40"/>
      <c r="AZ112" s="237"/>
      <c r="BA112" s="40"/>
      <c r="BB112" s="40"/>
      <c r="BC112" s="40"/>
      <c r="BD112" s="40"/>
      <c r="BE112" s="237"/>
      <c r="BF112" s="40"/>
      <c r="BG112" s="40"/>
      <c r="BH112" s="40"/>
      <c r="BI112" s="40"/>
      <c r="BJ112" s="237"/>
      <c r="BK112" s="40"/>
      <c r="BL112" s="40"/>
      <c r="BM112" s="40"/>
      <c r="BN112" s="368"/>
      <c r="BO112" s="369"/>
      <c r="BP112" s="368"/>
      <c r="BQ112" s="368"/>
      <c r="BR112" s="368"/>
      <c r="BS112" s="368"/>
      <c r="BT112" s="369"/>
    </row>
    <row r="113" spans="1:72" s="182" customFormat="1" ht="13">
      <c r="A113" s="676">
        <f t="shared" si="171"/>
        <v>107</v>
      </c>
      <c r="B113" s="183" t="s">
        <v>140</v>
      </c>
      <c r="E113" s="237">
        <f t="shared" ref="E113:W113" si="223">E105-E107+E110-E108+E111</f>
        <v>0</v>
      </c>
      <c r="F113" s="237">
        <f t="shared" si="223"/>
        <v>0</v>
      </c>
      <c r="G113" s="237">
        <f t="shared" si="223"/>
        <v>0</v>
      </c>
      <c r="H113" s="40">
        <f t="shared" si="223"/>
        <v>0</v>
      </c>
      <c r="I113" s="40">
        <f t="shared" si="223"/>
        <v>0</v>
      </c>
      <c r="J113" s="40">
        <f t="shared" si="223"/>
        <v>0</v>
      </c>
      <c r="K113" s="40">
        <f t="shared" si="223"/>
        <v>0</v>
      </c>
      <c r="L113" s="237">
        <f t="shared" si="223"/>
        <v>0</v>
      </c>
      <c r="M113" s="40">
        <f t="shared" si="223"/>
        <v>0</v>
      </c>
      <c r="N113" s="40">
        <f t="shared" si="223"/>
        <v>0</v>
      </c>
      <c r="O113" s="40">
        <f t="shared" si="223"/>
        <v>0</v>
      </c>
      <c r="P113" s="40">
        <f t="shared" si="223"/>
        <v>0</v>
      </c>
      <c r="Q113" s="237">
        <f t="shared" si="223"/>
        <v>0</v>
      </c>
      <c r="R113" s="40">
        <f t="shared" si="223"/>
        <v>0</v>
      </c>
      <c r="S113" s="40">
        <f t="shared" si="223"/>
        <v>0</v>
      </c>
      <c r="T113" s="40">
        <f t="shared" si="223"/>
        <v>0</v>
      </c>
      <c r="U113" s="40">
        <f t="shared" si="223"/>
        <v>0</v>
      </c>
      <c r="V113" s="237">
        <f t="shared" si="223"/>
        <v>0</v>
      </c>
      <c r="W113" s="40">
        <f t="shared" si="223"/>
        <v>0</v>
      </c>
      <c r="X113" s="40">
        <f t="shared" ref="X113:AD113" si="224">X105-X107+X110-X108+X111</f>
        <v>0</v>
      </c>
      <c r="Y113" s="40">
        <f t="shared" si="224"/>
        <v>0</v>
      </c>
      <c r="Z113" s="40">
        <f t="shared" si="224"/>
        <v>0</v>
      </c>
      <c r="AA113" s="237">
        <f t="shared" si="224"/>
        <v>0</v>
      </c>
      <c r="AB113" s="40">
        <f t="shared" si="224"/>
        <v>0</v>
      </c>
      <c r="AC113" s="40">
        <f t="shared" si="224"/>
        <v>0</v>
      </c>
      <c r="AD113" s="40">
        <f t="shared" si="224"/>
        <v>0</v>
      </c>
      <c r="AE113" s="40">
        <f t="shared" ref="AE113:AJ113" si="225">AE105-AE107+AE110-AE108+AE111</f>
        <v>0</v>
      </c>
      <c r="AF113" s="237">
        <f t="shared" si="225"/>
        <v>0</v>
      </c>
      <c r="AG113" s="40">
        <f t="shared" si="225"/>
        <v>0</v>
      </c>
      <c r="AH113" s="40">
        <f t="shared" si="225"/>
        <v>0</v>
      </c>
      <c r="AI113" s="40">
        <f t="shared" si="225"/>
        <v>0</v>
      </c>
      <c r="AJ113" s="40">
        <f t="shared" si="225"/>
        <v>0</v>
      </c>
      <c r="AK113" s="237">
        <f t="shared" ref="AK113:AP113" si="226">AK105-AK107+AK110-AK108+AK111</f>
        <v>0</v>
      </c>
      <c r="AL113" s="40">
        <f t="shared" si="226"/>
        <v>0</v>
      </c>
      <c r="AM113" s="40">
        <f t="shared" si="226"/>
        <v>0</v>
      </c>
      <c r="AN113" s="40">
        <f t="shared" si="226"/>
        <v>0</v>
      </c>
      <c r="AO113" s="40">
        <f t="shared" si="226"/>
        <v>0</v>
      </c>
      <c r="AP113" s="237">
        <f t="shared" si="226"/>
        <v>0</v>
      </c>
      <c r="AQ113" s="40">
        <f>AQ105-AQ107+AQ110-AQ108+AQ111</f>
        <v>0</v>
      </c>
      <c r="AR113" s="40">
        <f>AR105-AR107+AR110-AR108+AR111</f>
        <v>0</v>
      </c>
      <c r="AS113" s="40">
        <f>AS105-AS107+AS110-AS108+AS111</f>
        <v>0</v>
      </c>
      <c r="AT113" s="40">
        <f>AT105-AT107+AT110-AT108+AT111</f>
        <v>0</v>
      </c>
      <c r="AU113" s="237">
        <f>AU105-AU107+AU110-AU108+AU111</f>
        <v>0</v>
      </c>
      <c r="AV113" s="40">
        <f t="shared" ref="AV113:BA113" si="227">AV105-AV107+AV110-AV108+AV111</f>
        <v>0</v>
      </c>
      <c r="AW113" s="40">
        <f t="shared" si="227"/>
        <v>0</v>
      </c>
      <c r="AX113" s="40">
        <f t="shared" si="227"/>
        <v>0</v>
      </c>
      <c r="AY113" s="40">
        <f t="shared" si="227"/>
        <v>0</v>
      </c>
      <c r="AZ113" s="237">
        <f t="shared" si="227"/>
        <v>0</v>
      </c>
      <c r="BA113" s="40">
        <f t="shared" si="227"/>
        <v>0</v>
      </c>
      <c r="BB113" s="40">
        <f t="shared" ref="BB113:BG113" si="228">BB105-BB107+BB110-BB108+BB111</f>
        <v>0</v>
      </c>
      <c r="BC113" s="40">
        <f t="shared" si="228"/>
        <v>0</v>
      </c>
      <c r="BD113" s="40">
        <f t="shared" si="228"/>
        <v>0</v>
      </c>
      <c r="BE113" s="237">
        <f t="shared" si="228"/>
        <v>0</v>
      </c>
      <c r="BF113" s="40">
        <f t="shared" si="228"/>
        <v>0</v>
      </c>
      <c r="BG113" s="40">
        <f t="shared" si="228"/>
        <v>0</v>
      </c>
      <c r="BH113" s="40">
        <f t="shared" ref="BH113:BT113" si="229">BH105-BH107+BH110-BH108+BH111</f>
        <v>0</v>
      </c>
      <c r="BI113" s="40">
        <f t="shared" si="229"/>
        <v>0</v>
      </c>
      <c r="BJ113" s="237">
        <f t="shared" si="229"/>
        <v>0</v>
      </c>
      <c r="BK113" s="40">
        <f t="shared" si="229"/>
        <v>0</v>
      </c>
      <c r="BL113" s="40">
        <f t="shared" si="229"/>
        <v>0</v>
      </c>
      <c r="BM113" s="40">
        <f>BM105-BM107+BM110-BM108+BM111</f>
        <v>0</v>
      </c>
      <c r="BN113" s="368">
        <f t="shared" si="229"/>
        <v>0</v>
      </c>
      <c r="BO113" s="369">
        <f t="shared" si="229"/>
        <v>0</v>
      </c>
      <c r="BP113" s="368">
        <f t="shared" si="229"/>
        <v>0</v>
      </c>
      <c r="BQ113" s="368">
        <f t="shared" si="229"/>
        <v>0</v>
      </c>
      <c r="BR113" s="368">
        <f t="shared" si="229"/>
        <v>0</v>
      </c>
      <c r="BS113" s="368">
        <f t="shared" si="229"/>
        <v>0</v>
      </c>
      <c r="BT113" s="369">
        <f t="shared" si="229"/>
        <v>0</v>
      </c>
    </row>
    <row r="114" spans="1:72" s="182" customFormat="1" ht="13">
      <c r="A114" s="676">
        <f t="shared" si="171"/>
        <v>108</v>
      </c>
      <c r="B114" s="234" t="s">
        <v>227</v>
      </c>
      <c r="E114" s="194" t="e">
        <f t="shared" ref="E114:AJ114" si="230">E113/E59</f>
        <v>#DIV/0!</v>
      </c>
      <c r="F114" s="194" t="e">
        <f t="shared" si="230"/>
        <v>#DIV/0!</v>
      </c>
      <c r="G114" s="194" t="e">
        <f t="shared" si="230"/>
        <v>#DIV/0!</v>
      </c>
      <c r="H114" s="195" t="e">
        <f t="shared" si="230"/>
        <v>#DIV/0!</v>
      </c>
      <c r="I114" s="195" t="e">
        <f t="shared" si="230"/>
        <v>#DIV/0!</v>
      </c>
      <c r="J114" s="195" t="e">
        <f t="shared" si="230"/>
        <v>#DIV/0!</v>
      </c>
      <c r="K114" s="195" t="e">
        <f t="shared" si="230"/>
        <v>#DIV/0!</v>
      </c>
      <c r="L114" s="194" t="e">
        <f t="shared" si="230"/>
        <v>#DIV/0!</v>
      </c>
      <c r="M114" s="195" t="e">
        <f t="shared" si="230"/>
        <v>#DIV/0!</v>
      </c>
      <c r="N114" s="195" t="e">
        <f t="shared" si="230"/>
        <v>#DIV/0!</v>
      </c>
      <c r="O114" s="195" t="e">
        <f t="shared" si="230"/>
        <v>#DIV/0!</v>
      </c>
      <c r="P114" s="195" t="e">
        <f t="shared" si="230"/>
        <v>#DIV/0!</v>
      </c>
      <c r="Q114" s="194" t="e">
        <f t="shared" si="230"/>
        <v>#DIV/0!</v>
      </c>
      <c r="R114" s="195" t="e">
        <f t="shared" si="230"/>
        <v>#DIV/0!</v>
      </c>
      <c r="S114" s="195" t="e">
        <f t="shared" si="230"/>
        <v>#DIV/0!</v>
      </c>
      <c r="T114" s="195" t="e">
        <f t="shared" si="230"/>
        <v>#DIV/0!</v>
      </c>
      <c r="U114" s="195" t="e">
        <f t="shared" si="230"/>
        <v>#DIV/0!</v>
      </c>
      <c r="V114" s="194" t="e">
        <f t="shared" si="230"/>
        <v>#DIV/0!</v>
      </c>
      <c r="W114" s="195" t="e">
        <f t="shared" si="230"/>
        <v>#DIV/0!</v>
      </c>
      <c r="X114" s="195" t="e">
        <f t="shared" si="230"/>
        <v>#DIV/0!</v>
      </c>
      <c r="Y114" s="195" t="e">
        <f t="shared" si="230"/>
        <v>#DIV/0!</v>
      </c>
      <c r="Z114" s="195" t="e">
        <f t="shared" si="230"/>
        <v>#DIV/0!</v>
      </c>
      <c r="AA114" s="194" t="e">
        <f t="shared" si="230"/>
        <v>#DIV/0!</v>
      </c>
      <c r="AB114" s="195" t="e">
        <f t="shared" si="230"/>
        <v>#DIV/0!</v>
      </c>
      <c r="AC114" s="195" t="e">
        <f t="shared" si="230"/>
        <v>#DIV/0!</v>
      </c>
      <c r="AD114" s="195" t="e">
        <f t="shared" si="230"/>
        <v>#DIV/0!</v>
      </c>
      <c r="AE114" s="195" t="e">
        <f t="shared" si="230"/>
        <v>#DIV/0!</v>
      </c>
      <c r="AF114" s="194" t="e">
        <f t="shared" si="230"/>
        <v>#DIV/0!</v>
      </c>
      <c r="AG114" s="195" t="e">
        <f t="shared" si="230"/>
        <v>#DIV/0!</v>
      </c>
      <c r="AH114" s="195" t="e">
        <f t="shared" si="230"/>
        <v>#DIV/0!</v>
      </c>
      <c r="AI114" s="195" t="e">
        <f t="shared" si="230"/>
        <v>#DIV/0!</v>
      </c>
      <c r="AJ114" s="195" t="e">
        <f t="shared" si="230"/>
        <v>#DIV/0!</v>
      </c>
      <c r="AK114" s="194" t="e">
        <f t="shared" ref="AK114:BP114" si="231">AK113/AK59</f>
        <v>#DIV/0!</v>
      </c>
      <c r="AL114" s="195" t="e">
        <f t="shared" si="231"/>
        <v>#DIV/0!</v>
      </c>
      <c r="AM114" s="195" t="e">
        <f t="shared" si="231"/>
        <v>#DIV/0!</v>
      </c>
      <c r="AN114" s="195" t="e">
        <f t="shared" si="231"/>
        <v>#DIV/0!</v>
      </c>
      <c r="AO114" s="195" t="e">
        <f t="shared" si="231"/>
        <v>#DIV/0!</v>
      </c>
      <c r="AP114" s="194" t="e">
        <f t="shared" si="231"/>
        <v>#DIV/0!</v>
      </c>
      <c r="AQ114" s="195" t="e">
        <f t="shared" si="231"/>
        <v>#DIV/0!</v>
      </c>
      <c r="AR114" s="195" t="e">
        <f t="shared" si="231"/>
        <v>#DIV/0!</v>
      </c>
      <c r="AS114" s="195" t="e">
        <f t="shared" si="231"/>
        <v>#DIV/0!</v>
      </c>
      <c r="AT114" s="195" t="e">
        <f t="shared" si="231"/>
        <v>#DIV/0!</v>
      </c>
      <c r="AU114" s="194" t="e">
        <f t="shared" si="231"/>
        <v>#DIV/0!</v>
      </c>
      <c r="AV114" s="195" t="e">
        <f t="shared" si="231"/>
        <v>#DIV/0!</v>
      </c>
      <c r="AW114" s="195" t="e">
        <f t="shared" si="231"/>
        <v>#DIV/0!</v>
      </c>
      <c r="AX114" s="195" t="e">
        <f t="shared" si="231"/>
        <v>#DIV/0!</v>
      </c>
      <c r="AY114" s="195" t="e">
        <f t="shared" si="231"/>
        <v>#DIV/0!</v>
      </c>
      <c r="AZ114" s="194" t="e">
        <f t="shared" si="231"/>
        <v>#DIV/0!</v>
      </c>
      <c r="BA114" s="195" t="e">
        <f t="shared" si="231"/>
        <v>#DIV/0!</v>
      </c>
      <c r="BB114" s="195" t="e">
        <f t="shared" si="231"/>
        <v>#DIV/0!</v>
      </c>
      <c r="BC114" s="195" t="e">
        <f t="shared" si="231"/>
        <v>#DIV/0!</v>
      </c>
      <c r="BD114" s="195" t="e">
        <f t="shared" si="231"/>
        <v>#DIV/0!</v>
      </c>
      <c r="BE114" s="194" t="e">
        <f t="shared" si="231"/>
        <v>#DIV/0!</v>
      </c>
      <c r="BF114" s="195" t="e">
        <f t="shared" si="231"/>
        <v>#DIV/0!</v>
      </c>
      <c r="BG114" s="195" t="e">
        <f t="shared" si="231"/>
        <v>#DIV/0!</v>
      </c>
      <c r="BH114" s="195" t="e">
        <f t="shared" si="231"/>
        <v>#DIV/0!</v>
      </c>
      <c r="BI114" s="195" t="e">
        <f t="shared" si="231"/>
        <v>#DIV/0!</v>
      </c>
      <c r="BJ114" s="194" t="e">
        <f t="shared" si="231"/>
        <v>#DIV/0!</v>
      </c>
      <c r="BK114" s="195" t="e">
        <f t="shared" si="231"/>
        <v>#DIV/0!</v>
      </c>
      <c r="BL114" s="195" t="e">
        <f>BL113/BL59</f>
        <v>#DIV/0!</v>
      </c>
      <c r="BM114" s="195" t="e">
        <f>BM113/BM59</f>
        <v>#DIV/0!</v>
      </c>
      <c r="BN114" s="376" t="e">
        <f t="shared" si="231"/>
        <v>#DIV/0!</v>
      </c>
      <c r="BO114" s="377" t="e">
        <f t="shared" si="231"/>
        <v>#DIV/0!</v>
      </c>
      <c r="BP114" s="376" t="e">
        <f t="shared" si="231"/>
        <v>#DIV/0!</v>
      </c>
      <c r="BQ114" s="376" t="e">
        <f>BQ113/BQ59</f>
        <v>#DIV/0!</v>
      </c>
      <c r="BR114" s="376" t="e">
        <f>BR113/BR59</f>
        <v>#DIV/0!</v>
      </c>
      <c r="BS114" s="376" t="e">
        <f>BS113/BS59</f>
        <v>#DIV/0!</v>
      </c>
      <c r="BT114" s="377" t="e">
        <f>BT113/BT59</f>
        <v>#DIV/0!</v>
      </c>
    </row>
    <row r="115" spans="1:72" s="182" customFormat="1" ht="13">
      <c r="A115" s="676">
        <f t="shared" si="171"/>
        <v>109</v>
      </c>
      <c r="B115" s="234" t="s">
        <v>166</v>
      </c>
      <c r="D115" s="190"/>
      <c r="E115" s="186"/>
      <c r="F115" s="186" t="e">
        <f>F113/E113-1</f>
        <v>#DIV/0!</v>
      </c>
      <c r="G115" s="186" t="e">
        <f>G113/F113-1</f>
        <v>#DIV/0!</v>
      </c>
      <c r="H115" s="32"/>
      <c r="I115" s="32"/>
      <c r="J115" s="32"/>
      <c r="K115" s="32"/>
      <c r="L115" s="186" t="e">
        <f t="shared" ref="L115:AS115" si="232">L113/G113-1</f>
        <v>#DIV/0!</v>
      </c>
      <c r="M115" s="32" t="e">
        <f t="shared" si="232"/>
        <v>#DIV/0!</v>
      </c>
      <c r="N115" s="32" t="e">
        <f t="shared" si="232"/>
        <v>#DIV/0!</v>
      </c>
      <c r="O115" s="32" t="e">
        <f t="shared" si="232"/>
        <v>#DIV/0!</v>
      </c>
      <c r="P115" s="32" t="e">
        <f t="shared" si="232"/>
        <v>#DIV/0!</v>
      </c>
      <c r="Q115" s="186" t="e">
        <f t="shared" si="232"/>
        <v>#DIV/0!</v>
      </c>
      <c r="R115" s="32" t="e">
        <f t="shared" si="232"/>
        <v>#DIV/0!</v>
      </c>
      <c r="S115" s="32" t="e">
        <f t="shared" si="232"/>
        <v>#DIV/0!</v>
      </c>
      <c r="T115" s="32" t="e">
        <f t="shared" si="232"/>
        <v>#DIV/0!</v>
      </c>
      <c r="U115" s="32" t="e">
        <f t="shared" si="232"/>
        <v>#DIV/0!</v>
      </c>
      <c r="V115" s="186" t="e">
        <f t="shared" si="232"/>
        <v>#DIV/0!</v>
      </c>
      <c r="W115" s="32" t="e">
        <f t="shared" si="232"/>
        <v>#DIV/0!</v>
      </c>
      <c r="X115" s="32" t="e">
        <f t="shared" si="232"/>
        <v>#DIV/0!</v>
      </c>
      <c r="Y115" s="32" t="e">
        <f t="shared" si="232"/>
        <v>#DIV/0!</v>
      </c>
      <c r="Z115" s="32" t="e">
        <f t="shared" si="232"/>
        <v>#DIV/0!</v>
      </c>
      <c r="AA115" s="186" t="e">
        <f t="shared" si="232"/>
        <v>#DIV/0!</v>
      </c>
      <c r="AB115" s="32" t="e">
        <f t="shared" si="232"/>
        <v>#DIV/0!</v>
      </c>
      <c r="AC115" s="32" t="e">
        <f t="shared" si="232"/>
        <v>#DIV/0!</v>
      </c>
      <c r="AD115" s="32" t="e">
        <f t="shared" si="232"/>
        <v>#DIV/0!</v>
      </c>
      <c r="AE115" s="32" t="e">
        <f t="shared" si="232"/>
        <v>#DIV/0!</v>
      </c>
      <c r="AF115" s="186" t="e">
        <f t="shared" si="232"/>
        <v>#DIV/0!</v>
      </c>
      <c r="AG115" s="32" t="e">
        <f t="shared" si="232"/>
        <v>#DIV/0!</v>
      </c>
      <c r="AH115" s="32" t="e">
        <f t="shared" si="232"/>
        <v>#DIV/0!</v>
      </c>
      <c r="AI115" s="32" t="e">
        <f t="shared" si="232"/>
        <v>#DIV/0!</v>
      </c>
      <c r="AJ115" s="32" t="e">
        <f t="shared" si="232"/>
        <v>#DIV/0!</v>
      </c>
      <c r="AK115" s="186" t="e">
        <f t="shared" si="232"/>
        <v>#DIV/0!</v>
      </c>
      <c r="AL115" s="32" t="e">
        <f t="shared" si="232"/>
        <v>#DIV/0!</v>
      </c>
      <c r="AM115" s="32" t="e">
        <f t="shared" si="232"/>
        <v>#DIV/0!</v>
      </c>
      <c r="AN115" s="32" t="e">
        <f t="shared" si="232"/>
        <v>#DIV/0!</v>
      </c>
      <c r="AO115" s="32" t="e">
        <f t="shared" si="232"/>
        <v>#DIV/0!</v>
      </c>
      <c r="AP115" s="186" t="e">
        <f t="shared" si="232"/>
        <v>#DIV/0!</v>
      </c>
      <c r="AQ115" s="32" t="e">
        <f t="shared" si="232"/>
        <v>#DIV/0!</v>
      </c>
      <c r="AR115" s="32" t="e">
        <f t="shared" si="232"/>
        <v>#DIV/0!</v>
      </c>
      <c r="AS115" s="32" t="e">
        <f t="shared" si="232"/>
        <v>#DIV/0!</v>
      </c>
      <c r="AT115" s="32" t="e">
        <f t="shared" ref="AT115:BB115" si="233">AT113/AO113-1</f>
        <v>#DIV/0!</v>
      </c>
      <c r="AU115" s="186" t="e">
        <f t="shared" si="233"/>
        <v>#DIV/0!</v>
      </c>
      <c r="AV115" s="32" t="e">
        <f t="shared" si="233"/>
        <v>#DIV/0!</v>
      </c>
      <c r="AW115" s="32" t="e">
        <f t="shared" si="233"/>
        <v>#DIV/0!</v>
      </c>
      <c r="AX115" s="32" t="e">
        <f t="shared" si="233"/>
        <v>#DIV/0!</v>
      </c>
      <c r="AY115" s="32" t="e">
        <f t="shared" si="233"/>
        <v>#DIV/0!</v>
      </c>
      <c r="AZ115" s="186" t="e">
        <f t="shared" si="233"/>
        <v>#DIV/0!</v>
      </c>
      <c r="BA115" s="32" t="e">
        <f t="shared" si="233"/>
        <v>#DIV/0!</v>
      </c>
      <c r="BB115" s="32" t="e">
        <f t="shared" si="233"/>
        <v>#DIV/0!</v>
      </c>
      <c r="BC115" s="32" t="e">
        <f t="shared" ref="BC115:BH115" si="234">BC113/AX113-1</f>
        <v>#DIV/0!</v>
      </c>
      <c r="BD115" s="32" t="e">
        <f t="shared" si="234"/>
        <v>#DIV/0!</v>
      </c>
      <c r="BE115" s="186" t="e">
        <f t="shared" si="234"/>
        <v>#DIV/0!</v>
      </c>
      <c r="BF115" s="32" t="e">
        <f t="shared" si="234"/>
        <v>#DIV/0!</v>
      </c>
      <c r="BG115" s="32" t="e">
        <f t="shared" si="234"/>
        <v>#DIV/0!</v>
      </c>
      <c r="BH115" s="32" t="e">
        <f t="shared" si="234"/>
        <v>#DIV/0!</v>
      </c>
      <c r="BI115" s="32" t="e">
        <f t="shared" ref="BI115:BT115" si="235">BI113/BD113-1</f>
        <v>#DIV/0!</v>
      </c>
      <c r="BJ115" s="186" t="e">
        <f t="shared" si="235"/>
        <v>#DIV/0!</v>
      </c>
      <c r="BK115" s="32" t="e">
        <f t="shared" si="235"/>
        <v>#DIV/0!</v>
      </c>
      <c r="BL115" s="32" t="e">
        <f t="shared" si="235"/>
        <v>#DIV/0!</v>
      </c>
      <c r="BM115" s="32" t="e">
        <f t="shared" si="235"/>
        <v>#DIV/0!</v>
      </c>
      <c r="BN115" s="364" t="e">
        <f t="shared" si="235"/>
        <v>#DIV/0!</v>
      </c>
      <c r="BO115" s="365" t="e">
        <f t="shared" si="235"/>
        <v>#DIV/0!</v>
      </c>
      <c r="BP115" s="364" t="e">
        <f t="shared" si="235"/>
        <v>#DIV/0!</v>
      </c>
      <c r="BQ115" s="364" t="e">
        <f t="shared" si="235"/>
        <v>#DIV/0!</v>
      </c>
      <c r="BR115" s="364" t="e">
        <f t="shared" si="235"/>
        <v>#DIV/0!</v>
      </c>
      <c r="BS115" s="364" t="e">
        <f t="shared" si="235"/>
        <v>#DIV/0!</v>
      </c>
      <c r="BT115" s="365" t="e">
        <f t="shared" si="235"/>
        <v>#DIV/0!</v>
      </c>
    </row>
    <row r="116" spans="1:72" s="182" customFormat="1" ht="13">
      <c r="A116" s="676">
        <f t="shared" si="171"/>
        <v>110</v>
      </c>
      <c r="E116" s="274"/>
      <c r="F116" s="274"/>
      <c r="G116" s="274"/>
      <c r="H116" s="41"/>
      <c r="I116" s="41"/>
      <c r="J116" s="41"/>
      <c r="K116" s="41"/>
      <c r="L116" s="274"/>
      <c r="M116" s="41"/>
      <c r="N116" s="41"/>
      <c r="O116" s="41"/>
      <c r="P116" s="41"/>
      <c r="Q116" s="274"/>
      <c r="R116" s="41"/>
      <c r="S116" s="41"/>
      <c r="T116" s="41"/>
      <c r="U116" s="41"/>
      <c r="V116" s="274"/>
      <c r="W116" s="41"/>
      <c r="X116" s="41"/>
      <c r="Y116" s="41"/>
      <c r="Z116" s="41"/>
      <c r="AA116" s="274"/>
      <c r="AB116" s="41"/>
      <c r="AC116" s="41"/>
      <c r="AD116" s="41"/>
      <c r="AE116" s="41"/>
      <c r="AF116" s="274"/>
      <c r="AG116" s="41"/>
      <c r="AH116" s="41"/>
      <c r="AI116" s="41"/>
      <c r="AJ116" s="41"/>
      <c r="AK116" s="274"/>
      <c r="AL116" s="41"/>
      <c r="AM116" s="41"/>
      <c r="AN116" s="41"/>
      <c r="AO116" s="41"/>
      <c r="AP116" s="274"/>
      <c r="AQ116" s="41"/>
      <c r="AR116" s="41"/>
      <c r="AS116" s="41"/>
      <c r="AT116" s="41"/>
      <c r="AU116" s="274"/>
      <c r="AV116" s="41"/>
      <c r="AW116" s="41"/>
      <c r="AX116" s="41"/>
      <c r="AY116" s="41"/>
      <c r="AZ116" s="274"/>
      <c r="BA116" s="41"/>
      <c r="BB116" s="41"/>
      <c r="BC116" s="41"/>
      <c r="BD116" s="41"/>
      <c r="BE116" s="274"/>
      <c r="BF116" s="41"/>
      <c r="BG116" s="41"/>
      <c r="BH116" s="41"/>
      <c r="BI116" s="41"/>
      <c r="BJ116" s="274"/>
      <c r="BK116" s="41"/>
      <c r="BL116" s="41"/>
      <c r="BM116" s="41"/>
      <c r="BN116" s="409"/>
      <c r="BO116" s="410"/>
      <c r="BP116" s="409"/>
      <c r="BQ116" s="409"/>
      <c r="BR116" s="409"/>
      <c r="BS116" s="409"/>
      <c r="BT116" s="410"/>
    </row>
    <row r="117" spans="1:72" s="182" customFormat="1" ht="13">
      <c r="A117" s="676">
        <f t="shared" si="171"/>
        <v>111</v>
      </c>
      <c r="B117" s="183" t="s">
        <v>228</v>
      </c>
      <c r="E117" s="237">
        <f t="shared" ref="E117:AJ117" si="236">SUM(E84:E85)</f>
        <v>0</v>
      </c>
      <c r="F117" s="237">
        <f t="shared" si="236"/>
        <v>0</v>
      </c>
      <c r="G117" s="237">
        <f t="shared" si="236"/>
        <v>0</v>
      </c>
      <c r="H117" s="40">
        <f t="shared" si="236"/>
        <v>0</v>
      </c>
      <c r="I117" s="40">
        <f t="shared" si="236"/>
        <v>0</v>
      </c>
      <c r="J117" s="40">
        <f t="shared" si="236"/>
        <v>0</v>
      </c>
      <c r="K117" s="40">
        <f t="shared" si="236"/>
        <v>0</v>
      </c>
      <c r="L117" s="237">
        <f t="shared" si="236"/>
        <v>0</v>
      </c>
      <c r="M117" s="40">
        <f t="shared" si="236"/>
        <v>0</v>
      </c>
      <c r="N117" s="40">
        <f t="shared" si="236"/>
        <v>0</v>
      </c>
      <c r="O117" s="40">
        <f t="shared" si="236"/>
        <v>0</v>
      </c>
      <c r="P117" s="40">
        <f t="shared" si="236"/>
        <v>0</v>
      </c>
      <c r="Q117" s="237">
        <f t="shared" si="236"/>
        <v>0</v>
      </c>
      <c r="R117" s="40">
        <f t="shared" si="236"/>
        <v>0</v>
      </c>
      <c r="S117" s="40">
        <f t="shared" si="236"/>
        <v>0</v>
      </c>
      <c r="T117" s="40">
        <f t="shared" si="236"/>
        <v>0</v>
      </c>
      <c r="U117" s="40">
        <f t="shared" si="236"/>
        <v>0</v>
      </c>
      <c r="V117" s="237">
        <f t="shared" si="236"/>
        <v>0</v>
      </c>
      <c r="W117" s="40">
        <f t="shared" si="236"/>
        <v>0</v>
      </c>
      <c r="X117" s="40">
        <f t="shared" si="236"/>
        <v>0</v>
      </c>
      <c r="Y117" s="40">
        <f t="shared" si="236"/>
        <v>0</v>
      </c>
      <c r="Z117" s="40">
        <f t="shared" si="236"/>
        <v>0</v>
      </c>
      <c r="AA117" s="237">
        <f t="shared" si="236"/>
        <v>0</v>
      </c>
      <c r="AB117" s="40">
        <f t="shared" si="236"/>
        <v>0</v>
      </c>
      <c r="AC117" s="40">
        <f t="shared" si="236"/>
        <v>0</v>
      </c>
      <c r="AD117" s="40">
        <f t="shared" si="236"/>
        <v>0</v>
      </c>
      <c r="AE117" s="40">
        <f t="shared" si="236"/>
        <v>0</v>
      </c>
      <c r="AF117" s="237">
        <f t="shared" si="236"/>
        <v>0</v>
      </c>
      <c r="AG117" s="40">
        <f t="shared" si="236"/>
        <v>0</v>
      </c>
      <c r="AH117" s="40">
        <f t="shared" si="236"/>
        <v>0</v>
      </c>
      <c r="AI117" s="40">
        <f t="shared" si="236"/>
        <v>0</v>
      </c>
      <c r="AJ117" s="40">
        <f t="shared" si="236"/>
        <v>0</v>
      </c>
      <c r="AK117" s="237">
        <f t="shared" ref="AK117:BT117" si="237">SUM(AK84:AK85)</f>
        <v>0</v>
      </c>
      <c r="AL117" s="40">
        <f t="shared" si="237"/>
        <v>0</v>
      </c>
      <c r="AM117" s="40">
        <f t="shared" si="237"/>
        <v>0</v>
      </c>
      <c r="AN117" s="40">
        <f t="shared" si="237"/>
        <v>0</v>
      </c>
      <c r="AO117" s="40">
        <f t="shared" si="237"/>
        <v>0</v>
      </c>
      <c r="AP117" s="237">
        <f t="shared" si="237"/>
        <v>0</v>
      </c>
      <c r="AQ117" s="40">
        <f t="shared" si="237"/>
        <v>0</v>
      </c>
      <c r="AR117" s="40">
        <f t="shared" si="237"/>
        <v>0</v>
      </c>
      <c r="AS117" s="40">
        <f t="shared" si="237"/>
        <v>0</v>
      </c>
      <c r="AT117" s="40">
        <f t="shared" si="237"/>
        <v>0</v>
      </c>
      <c r="AU117" s="237">
        <f t="shared" si="237"/>
        <v>0</v>
      </c>
      <c r="AV117" s="40">
        <f t="shared" si="237"/>
        <v>0</v>
      </c>
      <c r="AW117" s="40">
        <f t="shared" si="237"/>
        <v>0</v>
      </c>
      <c r="AX117" s="40">
        <f t="shared" si="237"/>
        <v>0</v>
      </c>
      <c r="AY117" s="40">
        <f t="shared" si="237"/>
        <v>0</v>
      </c>
      <c r="AZ117" s="237">
        <f t="shared" si="237"/>
        <v>0</v>
      </c>
      <c r="BA117" s="40">
        <f t="shared" si="237"/>
        <v>0</v>
      </c>
      <c r="BB117" s="40">
        <f t="shared" si="237"/>
        <v>0</v>
      </c>
      <c r="BC117" s="40">
        <f t="shared" si="237"/>
        <v>0</v>
      </c>
      <c r="BD117" s="40">
        <f t="shared" si="237"/>
        <v>0</v>
      </c>
      <c r="BE117" s="237">
        <f t="shared" si="237"/>
        <v>0</v>
      </c>
      <c r="BF117" s="40">
        <f t="shared" si="237"/>
        <v>0</v>
      </c>
      <c r="BG117" s="40">
        <f t="shared" si="237"/>
        <v>0</v>
      </c>
      <c r="BH117" s="40">
        <f t="shared" si="237"/>
        <v>0</v>
      </c>
      <c r="BI117" s="40">
        <f t="shared" si="237"/>
        <v>0</v>
      </c>
      <c r="BJ117" s="237">
        <f t="shared" si="237"/>
        <v>0</v>
      </c>
      <c r="BK117" s="40">
        <f t="shared" si="237"/>
        <v>0</v>
      </c>
      <c r="BL117" s="40">
        <f>SUM(BL84:BL85)</f>
        <v>0</v>
      </c>
      <c r="BM117" s="40">
        <f>SUM(BM84:BM85)</f>
        <v>0</v>
      </c>
      <c r="BN117" s="368">
        <f t="shared" si="237"/>
        <v>0</v>
      </c>
      <c r="BO117" s="369">
        <f t="shared" si="237"/>
        <v>0</v>
      </c>
      <c r="BP117" s="368">
        <f t="shared" si="237"/>
        <v>0</v>
      </c>
      <c r="BQ117" s="368">
        <f t="shared" si="237"/>
        <v>0</v>
      </c>
      <c r="BR117" s="368">
        <f t="shared" si="237"/>
        <v>0</v>
      </c>
      <c r="BS117" s="368">
        <f t="shared" si="237"/>
        <v>0</v>
      </c>
      <c r="BT117" s="369">
        <f t="shared" si="237"/>
        <v>0</v>
      </c>
    </row>
    <row r="118" spans="1:72" s="182" customFormat="1" ht="13">
      <c r="A118" s="676">
        <f t="shared" si="171"/>
        <v>112</v>
      </c>
      <c r="B118" s="169" t="s">
        <v>229</v>
      </c>
      <c r="E118" s="171"/>
      <c r="F118" s="171"/>
      <c r="G118" s="171">
        <v>0</v>
      </c>
      <c r="H118" s="40"/>
      <c r="I118" s="40"/>
      <c r="J118" s="40"/>
      <c r="K118" s="269">
        <f>L118-J118-I118-H118</f>
        <v>0</v>
      </c>
      <c r="L118" s="171">
        <v>0</v>
      </c>
      <c r="M118" s="40"/>
      <c r="N118" s="40"/>
      <c r="O118" s="40"/>
      <c r="P118" s="269">
        <f>Q118-O118-N118-M118</f>
        <v>0</v>
      </c>
      <c r="Q118" s="171">
        <v>0</v>
      </c>
      <c r="R118" s="40"/>
      <c r="S118" s="40"/>
      <c r="T118" s="40"/>
      <c r="U118" s="37">
        <f>V118-T118-S118-R118</f>
        <v>0</v>
      </c>
      <c r="V118" s="145"/>
      <c r="W118" s="40"/>
      <c r="X118" s="40"/>
      <c r="Y118" s="40"/>
      <c r="Z118" s="37">
        <f>AA118-Y118-X118-W118</f>
        <v>0</v>
      </c>
      <c r="AA118" s="145"/>
      <c r="AB118" s="40"/>
      <c r="AC118" s="40"/>
      <c r="AD118" s="40"/>
      <c r="AE118" s="37">
        <f>AF118-AD118-AC118-AB118</f>
        <v>0</v>
      </c>
      <c r="AF118" s="171"/>
      <c r="AG118" s="40"/>
      <c r="AH118" s="40"/>
      <c r="AI118" s="40"/>
      <c r="AJ118" s="37">
        <f>AK118-AI118-AH118-AG118</f>
        <v>0</v>
      </c>
      <c r="AK118" s="171"/>
      <c r="AL118" s="40"/>
      <c r="AM118" s="40"/>
      <c r="AN118" s="40"/>
      <c r="AO118" s="37">
        <f>AP118-AN118-AM118-AL118</f>
        <v>0</v>
      </c>
      <c r="AP118" s="171"/>
      <c r="AQ118" s="40"/>
      <c r="AR118" s="40"/>
      <c r="AS118" s="40"/>
      <c r="AT118" s="37">
        <f>AU118-AS118-AR118-AQ118</f>
        <v>0</v>
      </c>
      <c r="AU118" s="171"/>
      <c r="AV118" s="40"/>
      <c r="AW118" s="40"/>
      <c r="AX118" s="40"/>
      <c r="AY118" s="37">
        <f>AZ118-AX118-AW118-AV118</f>
        <v>0</v>
      </c>
      <c r="AZ118" s="171"/>
      <c r="BA118" s="40"/>
      <c r="BB118" s="40"/>
      <c r="BC118" s="40"/>
      <c r="BD118" s="37">
        <f>BE118-BC118-BB118-BA118</f>
        <v>0</v>
      </c>
      <c r="BE118" s="171"/>
      <c r="BF118" s="40"/>
      <c r="BG118" s="40"/>
      <c r="BH118" s="40"/>
      <c r="BI118" s="37">
        <f>BJ118-BH118-BG118-BF118</f>
        <v>0</v>
      </c>
      <c r="BJ118" s="171"/>
      <c r="BK118" s="40"/>
      <c r="BL118" s="40"/>
      <c r="BM118" s="40"/>
      <c r="BN118" s="368"/>
      <c r="BO118" s="375"/>
      <c r="BP118" s="368"/>
      <c r="BQ118" s="368"/>
      <c r="BR118" s="368"/>
      <c r="BS118" s="368"/>
      <c r="BT118" s="375"/>
    </row>
    <row r="119" spans="1:72" s="182" customFormat="1" ht="13">
      <c r="A119" s="676">
        <f t="shared" si="171"/>
        <v>113</v>
      </c>
      <c r="E119" s="274"/>
      <c r="F119" s="274"/>
      <c r="G119" s="274"/>
      <c r="H119" s="41"/>
      <c r="I119" s="41"/>
      <c r="J119" s="41"/>
      <c r="K119" s="41"/>
      <c r="L119" s="274"/>
      <c r="M119" s="41"/>
      <c r="N119" s="41"/>
      <c r="O119" s="41"/>
      <c r="P119" s="41"/>
      <c r="Q119" s="274"/>
      <c r="R119" s="41"/>
      <c r="S119" s="41"/>
      <c r="T119" s="41"/>
      <c r="U119" s="41"/>
      <c r="V119" s="274"/>
      <c r="W119" s="41"/>
      <c r="X119" s="41"/>
      <c r="Y119" s="41"/>
      <c r="Z119" s="41"/>
      <c r="AA119" s="274"/>
      <c r="AB119" s="41"/>
      <c r="AC119" s="41"/>
      <c r="AD119" s="41"/>
      <c r="AE119" s="41"/>
      <c r="AF119" s="274"/>
      <c r="AG119" s="41"/>
      <c r="AH119" s="41"/>
      <c r="AI119" s="41"/>
      <c r="AJ119" s="41"/>
      <c r="AK119" s="274"/>
      <c r="AL119" s="41"/>
      <c r="AM119" s="41"/>
      <c r="AN119" s="41"/>
      <c r="AO119" s="41"/>
      <c r="AP119" s="274"/>
      <c r="AQ119" s="41"/>
      <c r="AR119" s="41"/>
      <c r="AS119" s="41"/>
      <c r="AT119" s="41"/>
      <c r="AU119" s="274"/>
      <c r="AV119" s="41"/>
      <c r="AW119" s="41"/>
      <c r="AX119" s="41"/>
      <c r="AY119" s="41"/>
      <c r="AZ119" s="274"/>
      <c r="BA119" s="41"/>
      <c r="BB119" s="41"/>
      <c r="BC119" s="41"/>
      <c r="BD119" s="41"/>
      <c r="BE119" s="274"/>
      <c r="BF119" s="41"/>
      <c r="BG119" s="41"/>
      <c r="BH119" s="41"/>
      <c r="BI119" s="41"/>
      <c r="BJ119" s="274"/>
      <c r="BK119" s="41"/>
      <c r="BL119" s="41"/>
      <c r="BM119" s="41"/>
      <c r="BN119" s="409"/>
      <c r="BO119" s="410"/>
      <c r="BP119" s="409"/>
      <c r="BQ119" s="409"/>
      <c r="BR119" s="409"/>
      <c r="BS119" s="409"/>
      <c r="BT119" s="410"/>
    </row>
    <row r="120" spans="1:72" s="182" customFormat="1" ht="13">
      <c r="A120" s="676">
        <f t="shared" si="171"/>
        <v>114</v>
      </c>
      <c r="B120" s="27" t="s">
        <v>230</v>
      </c>
      <c r="E120" s="237">
        <f t="shared" ref="E120:AJ120" si="238">E75+E76-E88-E93+E78-E83-E87+E111</f>
        <v>0</v>
      </c>
      <c r="F120" s="237">
        <f t="shared" si="238"/>
        <v>0</v>
      </c>
      <c r="G120" s="237">
        <f t="shared" si="238"/>
        <v>0</v>
      </c>
      <c r="H120" s="40">
        <f t="shared" si="238"/>
        <v>0</v>
      </c>
      <c r="I120" s="40">
        <f t="shared" si="238"/>
        <v>0</v>
      </c>
      <c r="J120" s="40">
        <f t="shared" si="238"/>
        <v>0</v>
      </c>
      <c r="K120" s="40">
        <f t="shared" si="238"/>
        <v>0</v>
      </c>
      <c r="L120" s="237">
        <f t="shared" si="238"/>
        <v>0</v>
      </c>
      <c r="M120" s="40">
        <f t="shared" si="238"/>
        <v>0</v>
      </c>
      <c r="N120" s="40">
        <f t="shared" si="238"/>
        <v>0</v>
      </c>
      <c r="O120" s="40">
        <f t="shared" si="238"/>
        <v>0</v>
      </c>
      <c r="P120" s="40">
        <f t="shared" si="238"/>
        <v>0</v>
      </c>
      <c r="Q120" s="237">
        <f t="shared" si="238"/>
        <v>0</v>
      </c>
      <c r="R120" s="40">
        <f t="shared" si="238"/>
        <v>0</v>
      </c>
      <c r="S120" s="40">
        <f t="shared" si="238"/>
        <v>0</v>
      </c>
      <c r="T120" s="40">
        <f t="shared" si="238"/>
        <v>0</v>
      </c>
      <c r="U120" s="40">
        <f t="shared" si="238"/>
        <v>0</v>
      </c>
      <c r="V120" s="145">
        <f t="shared" si="238"/>
        <v>0</v>
      </c>
      <c r="W120" s="40">
        <f t="shared" si="238"/>
        <v>0</v>
      </c>
      <c r="X120" s="40">
        <f t="shared" si="238"/>
        <v>0</v>
      </c>
      <c r="Y120" s="40">
        <f t="shared" si="238"/>
        <v>0</v>
      </c>
      <c r="Z120" s="40">
        <f t="shared" si="238"/>
        <v>0</v>
      </c>
      <c r="AA120" s="145">
        <f t="shared" si="238"/>
        <v>0</v>
      </c>
      <c r="AB120" s="40">
        <f t="shared" si="238"/>
        <v>0</v>
      </c>
      <c r="AC120" s="40">
        <f t="shared" si="238"/>
        <v>0</v>
      </c>
      <c r="AD120" s="40">
        <f t="shared" si="238"/>
        <v>0</v>
      </c>
      <c r="AE120" s="40">
        <f t="shared" si="238"/>
        <v>0</v>
      </c>
      <c r="AF120" s="237">
        <f t="shared" si="238"/>
        <v>0</v>
      </c>
      <c r="AG120" s="40">
        <f t="shared" si="238"/>
        <v>0</v>
      </c>
      <c r="AH120" s="40">
        <f t="shared" si="238"/>
        <v>0</v>
      </c>
      <c r="AI120" s="40">
        <f t="shared" si="238"/>
        <v>0</v>
      </c>
      <c r="AJ120" s="40">
        <f t="shared" si="238"/>
        <v>0</v>
      </c>
      <c r="AK120" s="237">
        <f t="shared" ref="AK120:BT120" si="239">AK75+AK76-AK88-AK93+AK78-AK83-AK87+AK111</f>
        <v>0</v>
      </c>
      <c r="AL120" s="40">
        <f t="shared" si="239"/>
        <v>0</v>
      </c>
      <c r="AM120" s="40">
        <f t="shared" si="239"/>
        <v>0</v>
      </c>
      <c r="AN120" s="40">
        <f t="shared" si="239"/>
        <v>0</v>
      </c>
      <c r="AO120" s="40">
        <f t="shared" si="239"/>
        <v>0</v>
      </c>
      <c r="AP120" s="237">
        <f t="shared" si="239"/>
        <v>0</v>
      </c>
      <c r="AQ120" s="40">
        <f t="shared" si="239"/>
        <v>0</v>
      </c>
      <c r="AR120" s="40">
        <f t="shared" si="239"/>
        <v>0</v>
      </c>
      <c r="AS120" s="40">
        <f t="shared" si="239"/>
        <v>0</v>
      </c>
      <c r="AT120" s="40">
        <f t="shared" si="239"/>
        <v>0</v>
      </c>
      <c r="AU120" s="237">
        <f t="shared" si="239"/>
        <v>0</v>
      </c>
      <c r="AV120" s="40">
        <f t="shared" si="239"/>
        <v>0</v>
      </c>
      <c r="AW120" s="40">
        <f t="shared" si="239"/>
        <v>0</v>
      </c>
      <c r="AX120" s="40">
        <f t="shared" si="239"/>
        <v>0</v>
      </c>
      <c r="AY120" s="40">
        <f t="shared" si="239"/>
        <v>0</v>
      </c>
      <c r="AZ120" s="237">
        <f t="shared" si="239"/>
        <v>0</v>
      </c>
      <c r="BA120" s="40">
        <f t="shared" si="239"/>
        <v>0</v>
      </c>
      <c r="BB120" s="40">
        <f t="shared" si="239"/>
        <v>0</v>
      </c>
      <c r="BC120" s="40">
        <f t="shared" si="239"/>
        <v>0</v>
      </c>
      <c r="BD120" s="40">
        <f t="shared" si="239"/>
        <v>0</v>
      </c>
      <c r="BE120" s="237">
        <f t="shared" si="239"/>
        <v>0</v>
      </c>
      <c r="BF120" s="40">
        <f t="shared" si="239"/>
        <v>0</v>
      </c>
      <c r="BG120" s="40">
        <f t="shared" si="239"/>
        <v>0</v>
      </c>
      <c r="BH120" s="40">
        <f t="shared" si="239"/>
        <v>0</v>
      </c>
      <c r="BI120" s="40">
        <f t="shared" si="239"/>
        <v>0</v>
      </c>
      <c r="BJ120" s="237">
        <f t="shared" si="239"/>
        <v>0</v>
      </c>
      <c r="BK120" s="40">
        <f t="shared" si="239"/>
        <v>0</v>
      </c>
      <c r="BL120" s="40">
        <f>BL75+BL76-BL88-BL93+BL78-BL83-BL87+BL111</f>
        <v>0</v>
      </c>
      <c r="BM120" s="40">
        <f>BM75+BM76-BM88-BM93+BM78-BM83-BM87+BM111</f>
        <v>0</v>
      </c>
      <c r="BN120" s="368">
        <f t="shared" si="239"/>
        <v>0</v>
      </c>
      <c r="BO120" s="369">
        <f t="shared" si="239"/>
        <v>0</v>
      </c>
      <c r="BP120" s="368">
        <f t="shared" si="239"/>
        <v>0</v>
      </c>
      <c r="BQ120" s="368">
        <f t="shared" si="239"/>
        <v>0</v>
      </c>
      <c r="BR120" s="368">
        <f t="shared" si="239"/>
        <v>0</v>
      </c>
      <c r="BS120" s="368">
        <f t="shared" si="239"/>
        <v>0</v>
      </c>
      <c r="BT120" s="369">
        <f t="shared" si="239"/>
        <v>0</v>
      </c>
    </row>
    <row r="121" spans="1:72" s="182" customFormat="1" ht="13">
      <c r="A121" s="676">
        <f t="shared" si="171"/>
        <v>115</v>
      </c>
      <c r="E121" s="237"/>
      <c r="F121" s="237"/>
      <c r="G121" s="237"/>
      <c r="H121" s="40"/>
      <c r="I121" s="40"/>
      <c r="J121" s="40"/>
      <c r="K121" s="40"/>
      <c r="L121" s="237"/>
      <c r="M121" s="40"/>
      <c r="N121" s="40"/>
      <c r="O121" s="40"/>
      <c r="P121" s="40"/>
      <c r="Q121" s="237"/>
      <c r="R121" s="40"/>
      <c r="S121" s="40"/>
      <c r="T121" s="40"/>
      <c r="U121" s="40"/>
      <c r="V121" s="237"/>
      <c r="W121" s="40"/>
      <c r="X121" s="40"/>
      <c r="Y121" s="40"/>
      <c r="Z121" s="40"/>
      <c r="AA121" s="237"/>
      <c r="AB121" s="40"/>
      <c r="AC121" s="40"/>
      <c r="AD121" s="40"/>
      <c r="AE121" s="40"/>
      <c r="AF121" s="237"/>
      <c r="AG121" s="40"/>
      <c r="AH121" s="40"/>
      <c r="AI121" s="40"/>
      <c r="AJ121" s="40"/>
      <c r="AK121" s="237"/>
      <c r="AL121" s="40"/>
      <c r="AM121" s="40"/>
      <c r="AN121" s="40"/>
      <c r="AO121" s="40"/>
      <c r="AP121" s="237"/>
      <c r="AQ121" s="40"/>
      <c r="AR121" s="40"/>
      <c r="AS121" s="40"/>
      <c r="AT121" s="40"/>
      <c r="AU121" s="237"/>
      <c r="AV121" s="40"/>
      <c r="AW121" s="40"/>
      <c r="AX121" s="40"/>
      <c r="AY121" s="40"/>
      <c r="AZ121" s="237"/>
      <c r="BA121" s="40"/>
      <c r="BB121" s="40"/>
      <c r="BC121" s="40"/>
      <c r="BD121" s="40"/>
      <c r="BE121" s="237"/>
      <c r="BF121" s="40"/>
      <c r="BG121" s="40"/>
      <c r="BH121" s="40"/>
      <c r="BI121" s="40"/>
      <c r="BJ121" s="237"/>
      <c r="BK121" s="40"/>
      <c r="BL121" s="40"/>
      <c r="BM121" s="40"/>
      <c r="BN121" s="368"/>
      <c r="BO121" s="369"/>
      <c r="BP121" s="368"/>
      <c r="BQ121" s="368"/>
      <c r="BR121" s="368"/>
      <c r="BS121" s="368"/>
      <c r="BT121" s="369"/>
    </row>
    <row r="122" spans="1:72" s="182" customFormat="1" ht="13">
      <c r="A122" s="676">
        <f t="shared" si="171"/>
        <v>116</v>
      </c>
      <c r="B122" s="183" t="s">
        <v>231</v>
      </c>
      <c r="E122" s="237">
        <f t="shared" ref="E122:AJ122" si="240">E113-E117+E118-E120</f>
        <v>0</v>
      </c>
      <c r="F122" s="237">
        <f t="shared" si="240"/>
        <v>0</v>
      </c>
      <c r="G122" s="237">
        <f t="shared" si="240"/>
        <v>0</v>
      </c>
      <c r="H122" s="40">
        <f t="shared" si="240"/>
        <v>0</v>
      </c>
      <c r="I122" s="40">
        <f t="shared" si="240"/>
        <v>0</v>
      </c>
      <c r="J122" s="40">
        <f t="shared" si="240"/>
        <v>0</v>
      </c>
      <c r="K122" s="40">
        <f t="shared" si="240"/>
        <v>0</v>
      </c>
      <c r="L122" s="237">
        <f t="shared" si="240"/>
        <v>0</v>
      </c>
      <c r="M122" s="40">
        <f t="shared" si="240"/>
        <v>0</v>
      </c>
      <c r="N122" s="40">
        <f t="shared" si="240"/>
        <v>0</v>
      </c>
      <c r="O122" s="40">
        <f t="shared" si="240"/>
        <v>0</v>
      </c>
      <c r="P122" s="40">
        <f t="shared" si="240"/>
        <v>0</v>
      </c>
      <c r="Q122" s="237">
        <f t="shared" si="240"/>
        <v>0</v>
      </c>
      <c r="R122" s="40">
        <f t="shared" si="240"/>
        <v>0</v>
      </c>
      <c r="S122" s="40">
        <f t="shared" si="240"/>
        <v>0</v>
      </c>
      <c r="T122" s="40">
        <f t="shared" si="240"/>
        <v>0</v>
      </c>
      <c r="U122" s="40">
        <f t="shared" si="240"/>
        <v>0</v>
      </c>
      <c r="V122" s="237">
        <f t="shared" si="240"/>
        <v>0</v>
      </c>
      <c r="W122" s="40">
        <f t="shared" si="240"/>
        <v>0</v>
      </c>
      <c r="X122" s="40">
        <f t="shared" ref="X122:AD122" si="241">X113-X117+X118-X120</f>
        <v>0</v>
      </c>
      <c r="Y122" s="40">
        <f t="shared" si="241"/>
        <v>0</v>
      </c>
      <c r="Z122" s="40">
        <f t="shared" si="241"/>
        <v>0</v>
      </c>
      <c r="AA122" s="237">
        <f t="shared" si="241"/>
        <v>0</v>
      </c>
      <c r="AB122" s="40">
        <f t="shared" si="241"/>
        <v>0</v>
      </c>
      <c r="AC122" s="40">
        <f t="shared" si="241"/>
        <v>0</v>
      </c>
      <c r="AD122" s="40">
        <f t="shared" si="241"/>
        <v>0</v>
      </c>
      <c r="AE122" s="40">
        <f>AE113-AE117+AE118-AE120</f>
        <v>0</v>
      </c>
      <c r="AF122" s="237">
        <f t="shared" si="240"/>
        <v>0</v>
      </c>
      <c r="AG122" s="40">
        <f t="shared" si="240"/>
        <v>0</v>
      </c>
      <c r="AH122" s="40">
        <f t="shared" si="240"/>
        <v>0</v>
      </c>
      <c r="AI122" s="40">
        <f t="shared" si="240"/>
        <v>0</v>
      </c>
      <c r="AJ122" s="40">
        <f t="shared" si="240"/>
        <v>0</v>
      </c>
      <c r="AK122" s="237">
        <f t="shared" ref="AK122:AP122" si="242">AK113-AK117+AK118-AK120</f>
        <v>0</v>
      </c>
      <c r="AL122" s="40">
        <f t="shared" si="242"/>
        <v>0</v>
      </c>
      <c r="AM122" s="40">
        <f t="shared" si="242"/>
        <v>0</v>
      </c>
      <c r="AN122" s="40">
        <f t="shared" si="242"/>
        <v>0</v>
      </c>
      <c r="AO122" s="40">
        <f t="shared" si="242"/>
        <v>0</v>
      </c>
      <c r="AP122" s="237">
        <f t="shared" si="242"/>
        <v>0</v>
      </c>
      <c r="AQ122" s="40">
        <f>AQ113-AQ117+AQ118-AQ120</f>
        <v>0</v>
      </c>
      <c r="AR122" s="40">
        <f>AR113-AR117+AR118-AR120</f>
        <v>0</v>
      </c>
      <c r="AS122" s="40">
        <f>AS113-AS117+AS118-AS120</f>
        <v>0</v>
      </c>
      <c r="AT122" s="40">
        <f>AT113-AT117+AT118-AT120</f>
        <v>0</v>
      </c>
      <c r="AU122" s="237">
        <f>AU113-AU117+AU118-AU120</f>
        <v>0</v>
      </c>
      <c r="AV122" s="40">
        <f t="shared" ref="AV122:BA122" si="243">AV113-AV117+AV118-AV120</f>
        <v>0</v>
      </c>
      <c r="AW122" s="40">
        <f t="shared" si="243"/>
        <v>0</v>
      </c>
      <c r="AX122" s="40">
        <f t="shared" si="243"/>
        <v>0</v>
      </c>
      <c r="AY122" s="40">
        <f t="shared" si="243"/>
        <v>0</v>
      </c>
      <c r="AZ122" s="237">
        <f t="shared" si="243"/>
        <v>0</v>
      </c>
      <c r="BA122" s="40">
        <f t="shared" si="243"/>
        <v>0</v>
      </c>
      <c r="BB122" s="40">
        <f t="shared" ref="BB122:BG122" si="244">BB113-BB117+BB118-BB120</f>
        <v>0</v>
      </c>
      <c r="BC122" s="40">
        <f t="shared" si="244"/>
        <v>0</v>
      </c>
      <c r="BD122" s="40">
        <f t="shared" si="244"/>
        <v>0</v>
      </c>
      <c r="BE122" s="237">
        <f t="shared" si="244"/>
        <v>0</v>
      </c>
      <c r="BF122" s="40">
        <f t="shared" si="244"/>
        <v>0</v>
      </c>
      <c r="BG122" s="40">
        <f t="shared" si="244"/>
        <v>0</v>
      </c>
      <c r="BH122" s="40">
        <f t="shared" ref="BH122:BT122" si="245">BH113-BH117+BH118-BH120</f>
        <v>0</v>
      </c>
      <c r="BI122" s="40">
        <f t="shared" si="245"/>
        <v>0</v>
      </c>
      <c r="BJ122" s="237">
        <f t="shared" si="245"/>
        <v>0</v>
      </c>
      <c r="BK122" s="40">
        <f t="shared" si="245"/>
        <v>0</v>
      </c>
      <c r="BL122" s="40">
        <f t="shared" si="245"/>
        <v>0</v>
      </c>
      <c r="BM122" s="40">
        <f>BM113-BM117+BM118-BM120</f>
        <v>0</v>
      </c>
      <c r="BN122" s="368">
        <f t="shared" si="245"/>
        <v>0</v>
      </c>
      <c r="BO122" s="369">
        <f t="shared" si="245"/>
        <v>0</v>
      </c>
      <c r="BP122" s="368">
        <f t="shared" si="245"/>
        <v>0</v>
      </c>
      <c r="BQ122" s="368">
        <f t="shared" si="245"/>
        <v>0</v>
      </c>
      <c r="BR122" s="368">
        <f t="shared" si="245"/>
        <v>0</v>
      </c>
      <c r="BS122" s="368">
        <f t="shared" si="245"/>
        <v>0</v>
      </c>
      <c r="BT122" s="369">
        <f t="shared" si="245"/>
        <v>0</v>
      </c>
    </row>
    <row r="123" spans="1:72" s="182" customFormat="1" ht="13">
      <c r="A123" s="676">
        <f t="shared" si="171"/>
        <v>117</v>
      </c>
      <c r="E123" s="237"/>
      <c r="F123" s="237"/>
      <c r="G123" s="237"/>
      <c r="H123" s="40"/>
      <c r="I123" s="40"/>
      <c r="J123" s="40"/>
      <c r="K123" s="40"/>
      <c r="L123" s="237"/>
      <c r="M123" s="40"/>
      <c r="N123" s="40"/>
      <c r="O123" s="40"/>
      <c r="P123" s="40"/>
      <c r="Q123" s="237"/>
      <c r="R123" s="40"/>
      <c r="S123" s="40"/>
      <c r="T123" s="40"/>
      <c r="U123" s="40"/>
      <c r="V123" s="237"/>
      <c r="W123" s="40"/>
      <c r="X123" s="40"/>
      <c r="Y123" s="40"/>
      <c r="Z123" s="40"/>
      <c r="AA123" s="237"/>
      <c r="AB123" s="40"/>
      <c r="AC123" s="40"/>
      <c r="AD123" s="40"/>
      <c r="AE123" s="40"/>
      <c r="AF123" s="237"/>
      <c r="AG123" s="40"/>
      <c r="AH123" s="40"/>
      <c r="AI123" s="40"/>
      <c r="AJ123" s="40"/>
      <c r="AK123" s="237"/>
      <c r="AL123" s="40"/>
      <c r="AM123" s="40"/>
      <c r="AN123" s="40"/>
      <c r="AO123" s="40"/>
      <c r="AP123" s="237"/>
      <c r="AQ123" s="40"/>
      <c r="AR123" s="40"/>
      <c r="AS123" s="40"/>
      <c r="AT123" s="40"/>
      <c r="AU123" s="237"/>
      <c r="AV123" s="40"/>
      <c r="AW123" s="40"/>
      <c r="AX123" s="40"/>
      <c r="AY123" s="40"/>
      <c r="AZ123" s="237"/>
      <c r="BA123" s="40"/>
      <c r="BB123" s="40"/>
      <c r="BC123" s="40"/>
      <c r="BD123" s="40"/>
      <c r="BE123" s="237"/>
      <c r="BF123" s="40"/>
      <c r="BG123" s="40"/>
      <c r="BH123" s="40"/>
      <c r="BI123" s="40"/>
      <c r="BJ123" s="237"/>
      <c r="BK123" s="40"/>
      <c r="BL123" s="40"/>
      <c r="BM123" s="40"/>
      <c r="BN123" s="368"/>
      <c r="BO123" s="369"/>
      <c r="BP123" s="368"/>
      <c r="BQ123" s="368"/>
      <c r="BR123" s="368"/>
      <c r="BS123" s="368"/>
      <c r="BT123" s="369"/>
    </row>
    <row r="124" spans="1:72" s="206" customFormat="1" ht="13">
      <c r="A124" s="676">
        <f t="shared" si="171"/>
        <v>118</v>
      </c>
      <c r="B124" s="206" t="s">
        <v>232</v>
      </c>
      <c r="E124" s="237">
        <f t="shared" ref="E124:AJ124" si="246">-E91</f>
        <v>0</v>
      </c>
      <c r="F124" s="237">
        <f t="shared" si="246"/>
        <v>0</v>
      </c>
      <c r="G124" s="237">
        <f t="shared" si="246"/>
        <v>0</v>
      </c>
      <c r="H124" s="40">
        <f t="shared" si="246"/>
        <v>0</v>
      </c>
      <c r="I124" s="40">
        <f t="shared" si="246"/>
        <v>0</v>
      </c>
      <c r="J124" s="40">
        <f t="shared" si="246"/>
        <v>0</v>
      </c>
      <c r="K124" s="40">
        <f t="shared" si="246"/>
        <v>0</v>
      </c>
      <c r="L124" s="237">
        <f t="shared" si="246"/>
        <v>0</v>
      </c>
      <c r="M124" s="40">
        <f t="shared" si="246"/>
        <v>0</v>
      </c>
      <c r="N124" s="40">
        <f t="shared" si="246"/>
        <v>0</v>
      </c>
      <c r="O124" s="40">
        <f t="shared" si="246"/>
        <v>0</v>
      </c>
      <c r="P124" s="40">
        <f t="shared" si="246"/>
        <v>0</v>
      </c>
      <c r="Q124" s="237">
        <f t="shared" si="246"/>
        <v>0</v>
      </c>
      <c r="R124" s="40">
        <f t="shared" si="246"/>
        <v>0</v>
      </c>
      <c r="S124" s="40">
        <f t="shared" si="246"/>
        <v>0</v>
      </c>
      <c r="T124" s="40">
        <f t="shared" si="246"/>
        <v>0</v>
      </c>
      <c r="U124" s="40">
        <f t="shared" si="246"/>
        <v>0</v>
      </c>
      <c r="V124" s="237">
        <f t="shared" si="246"/>
        <v>0</v>
      </c>
      <c r="W124" s="40">
        <f t="shared" si="246"/>
        <v>0</v>
      </c>
      <c r="X124" s="40">
        <f t="shared" si="246"/>
        <v>0</v>
      </c>
      <c r="Y124" s="40">
        <f t="shared" si="246"/>
        <v>0</v>
      </c>
      <c r="Z124" s="40">
        <f t="shared" si="246"/>
        <v>0</v>
      </c>
      <c r="AA124" s="237">
        <f t="shared" si="246"/>
        <v>0</v>
      </c>
      <c r="AB124" s="40">
        <f t="shared" si="246"/>
        <v>0</v>
      </c>
      <c r="AC124" s="40">
        <f t="shared" si="246"/>
        <v>0</v>
      </c>
      <c r="AD124" s="40">
        <f t="shared" si="246"/>
        <v>0</v>
      </c>
      <c r="AE124" s="40">
        <f t="shared" si="246"/>
        <v>0</v>
      </c>
      <c r="AF124" s="237">
        <f t="shared" si="246"/>
        <v>0</v>
      </c>
      <c r="AG124" s="40">
        <f t="shared" si="246"/>
        <v>0</v>
      </c>
      <c r="AH124" s="40">
        <f t="shared" si="246"/>
        <v>0</v>
      </c>
      <c r="AI124" s="40">
        <f t="shared" si="246"/>
        <v>0</v>
      </c>
      <c r="AJ124" s="40">
        <f t="shared" si="246"/>
        <v>0</v>
      </c>
      <c r="AK124" s="237">
        <f t="shared" ref="AK124:BT124" si="247">-AK91</f>
        <v>0</v>
      </c>
      <c r="AL124" s="40">
        <f t="shared" si="247"/>
        <v>0</v>
      </c>
      <c r="AM124" s="40">
        <f t="shared" si="247"/>
        <v>0</v>
      </c>
      <c r="AN124" s="40">
        <f t="shared" si="247"/>
        <v>0</v>
      </c>
      <c r="AO124" s="40">
        <f t="shared" si="247"/>
        <v>0</v>
      </c>
      <c r="AP124" s="237">
        <f t="shared" si="247"/>
        <v>0</v>
      </c>
      <c r="AQ124" s="40">
        <f t="shared" si="247"/>
        <v>0</v>
      </c>
      <c r="AR124" s="40">
        <f t="shared" si="247"/>
        <v>0</v>
      </c>
      <c r="AS124" s="40">
        <f t="shared" si="247"/>
        <v>0</v>
      </c>
      <c r="AT124" s="40">
        <f t="shared" si="247"/>
        <v>0</v>
      </c>
      <c r="AU124" s="237">
        <f t="shared" si="247"/>
        <v>0</v>
      </c>
      <c r="AV124" s="40">
        <f t="shared" si="247"/>
        <v>0</v>
      </c>
      <c r="AW124" s="40">
        <f t="shared" si="247"/>
        <v>0</v>
      </c>
      <c r="AX124" s="40">
        <f t="shared" si="247"/>
        <v>0</v>
      </c>
      <c r="AY124" s="40">
        <f t="shared" si="247"/>
        <v>0</v>
      </c>
      <c r="AZ124" s="237">
        <f t="shared" si="247"/>
        <v>0</v>
      </c>
      <c r="BA124" s="40">
        <f t="shared" si="247"/>
        <v>0</v>
      </c>
      <c r="BB124" s="40">
        <f t="shared" si="247"/>
        <v>0</v>
      </c>
      <c r="BC124" s="40">
        <f t="shared" si="247"/>
        <v>0</v>
      </c>
      <c r="BD124" s="40">
        <f t="shared" si="247"/>
        <v>0</v>
      </c>
      <c r="BE124" s="237">
        <f t="shared" si="247"/>
        <v>0</v>
      </c>
      <c r="BF124" s="40">
        <f t="shared" si="247"/>
        <v>0</v>
      </c>
      <c r="BG124" s="40">
        <f t="shared" si="247"/>
        <v>0</v>
      </c>
      <c r="BH124" s="40">
        <f t="shared" si="247"/>
        <v>0</v>
      </c>
      <c r="BI124" s="40">
        <f t="shared" si="247"/>
        <v>0</v>
      </c>
      <c r="BJ124" s="237">
        <f t="shared" si="247"/>
        <v>0</v>
      </c>
      <c r="BK124" s="40">
        <f t="shared" si="247"/>
        <v>0</v>
      </c>
      <c r="BL124" s="40">
        <f>-BL91</f>
        <v>0</v>
      </c>
      <c r="BM124" s="40">
        <f>-BM91</f>
        <v>0</v>
      </c>
      <c r="BN124" s="368" t="e">
        <f t="shared" si="247"/>
        <v>#DIV/0!</v>
      </c>
      <c r="BO124" s="369" t="e">
        <f t="shared" si="247"/>
        <v>#DIV/0!</v>
      </c>
      <c r="BP124" s="368" t="e">
        <f t="shared" si="247"/>
        <v>#DIV/0!</v>
      </c>
      <c r="BQ124" s="368" t="e">
        <f t="shared" si="247"/>
        <v>#DIV/0!</v>
      </c>
      <c r="BR124" s="368" t="e">
        <f t="shared" si="247"/>
        <v>#DIV/0!</v>
      </c>
      <c r="BS124" s="368" t="e">
        <f t="shared" si="247"/>
        <v>#DIV/0!</v>
      </c>
      <c r="BT124" s="369" t="e">
        <f t="shared" si="247"/>
        <v>#DIV/0!</v>
      </c>
    </row>
    <row r="125" spans="1:72" s="206" customFormat="1" ht="13">
      <c r="A125" s="676">
        <f t="shared" si="171"/>
        <v>119</v>
      </c>
      <c r="B125" s="221" t="s">
        <v>233</v>
      </c>
      <c r="E125" s="237"/>
      <c r="F125" s="237"/>
      <c r="G125" s="237"/>
      <c r="H125" s="40"/>
      <c r="I125" s="40"/>
      <c r="J125" s="40"/>
      <c r="K125" s="269">
        <f>L125-J125-I125-H125</f>
        <v>0</v>
      </c>
      <c r="L125" s="237"/>
      <c r="M125" s="40"/>
      <c r="N125" s="40"/>
      <c r="O125" s="40"/>
      <c r="P125" s="269">
        <f>Q125-O125-N125-M125</f>
        <v>0</v>
      </c>
      <c r="Q125" s="237"/>
      <c r="R125" s="40"/>
      <c r="S125" s="40"/>
      <c r="T125" s="40"/>
      <c r="U125" s="37"/>
      <c r="V125" s="145">
        <f>SUM(R125:U125)</f>
        <v>0</v>
      </c>
      <c r="W125" s="40">
        <v>0</v>
      </c>
      <c r="X125" s="40"/>
      <c r="Y125" s="40"/>
      <c r="Z125" s="37"/>
      <c r="AA125" s="145">
        <f>SUM(W125:Z125)</f>
        <v>0</v>
      </c>
      <c r="AB125" s="40">
        <v>0</v>
      </c>
      <c r="AC125" s="40"/>
      <c r="AD125" s="40"/>
      <c r="AE125" s="37"/>
      <c r="AF125" s="237">
        <f>SUM(AB125:AE125)</f>
        <v>0</v>
      </c>
      <c r="AG125" s="40">
        <v>0</v>
      </c>
      <c r="AH125" s="40"/>
      <c r="AI125" s="40"/>
      <c r="AJ125" s="37"/>
      <c r="AK125" s="237">
        <f>SUM(AG125:AJ125)</f>
        <v>0</v>
      </c>
      <c r="AL125" s="40">
        <v>0</v>
      </c>
      <c r="AM125" s="40"/>
      <c r="AN125" s="40"/>
      <c r="AO125" s="37"/>
      <c r="AP125" s="237">
        <f>SUM(AL125:AO125)</f>
        <v>0</v>
      </c>
      <c r="AQ125" s="40">
        <v>0</v>
      </c>
      <c r="AR125" s="40"/>
      <c r="AS125" s="40"/>
      <c r="AT125" s="37"/>
      <c r="AU125" s="237">
        <f>SUM(AQ125:AT125)</f>
        <v>0</v>
      </c>
      <c r="AV125" s="40">
        <v>0</v>
      </c>
      <c r="AW125" s="40"/>
      <c r="AX125" s="40"/>
      <c r="AY125" s="37"/>
      <c r="AZ125" s="237">
        <f>SUM(AV125:AY125)</f>
        <v>0</v>
      </c>
      <c r="BA125" s="40">
        <v>0</v>
      </c>
      <c r="BB125" s="40"/>
      <c r="BC125" s="40"/>
      <c r="BD125" s="37"/>
      <c r="BE125" s="237">
        <f>SUM(BA125:BD125)</f>
        <v>0</v>
      </c>
      <c r="BF125" s="40">
        <v>0</v>
      </c>
      <c r="BG125" s="40"/>
      <c r="BH125" s="40"/>
      <c r="BI125" s="37"/>
      <c r="BJ125" s="237">
        <f>SUM(BF125:BI125)</f>
        <v>0</v>
      </c>
      <c r="BK125" s="40">
        <v>0</v>
      </c>
      <c r="BL125" s="40"/>
      <c r="BM125" s="40"/>
      <c r="BN125" s="368">
        <v>0</v>
      </c>
      <c r="BO125" s="369">
        <f>SUM(BK125:BN125)</f>
        <v>0</v>
      </c>
      <c r="BP125" s="368">
        <v>0</v>
      </c>
      <c r="BQ125" s="368">
        <v>0</v>
      </c>
      <c r="BR125" s="368">
        <v>0</v>
      </c>
      <c r="BS125" s="368">
        <v>0</v>
      </c>
      <c r="BT125" s="369">
        <f>SUM(BP125:BS125)</f>
        <v>0</v>
      </c>
    </row>
    <row r="126" spans="1:72" s="182" customFormat="1" ht="13">
      <c r="A126" s="676">
        <f t="shared" si="171"/>
        <v>120</v>
      </c>
      <c r="B126" s="183" t="s">
        <v>234</v>
      </c>
      <c r="E126" s="171">
        <f t="shared" ref="E126:AF126" si="248">SUM(E124:E125)</f>
        <v>0</v>
      </c>
      <c r="F126" s="171">
        <f t="shared" si="248"/>
        <v>0</v>
      </c>
      <c r="G126" s="171">
        <f t="shared" si="248"/>
        <v>0</v>
      </c>
      <c r="H126" s="42">
        <f t="shared" si="248"/>
        <v>0</v>
      </c>
      <c r="I126" s="42">
        <f t="shared" si="248"/>
        <v>0</v>
      </c>
      <c r="J126" s="42">
        <f t="shared" si="248"/>
        <v>0</v>
      </c>
      <c r="K126" s="42">
        <f t="shared" si="248"/>
        <v>0</v>
      </c>
      <c r="L126" s="171">
        <f t="shared" si="248"/>
        <v>0</v>
      </c>
      <c r="M126" s="42">
        <f t="shared" si="248"/>
        <v>0</v>
      </c>
      <c r="N126" s="42">
        <f t="shared" si="248"/>
        <v>0</v>
      </c>
      <c r="O126" s="42">
        <f t="shared" si="248"/>
        <v>0</v>
      </c>
      <c r="P126" s="42">
        <f t="shared" si="248"/>
        <v>0</v>
      </c>
      <c r="Q126" s="171">
        <f t="shared" si="248"/>
        <v>0</v>
      </c>
      <c r="R126" s="42">
        <f t="shared" si="248"/>
        <v>0</v>
      </c>
      <c r="S126" s="42">
        <f t="shared" si="248"/>
        <v>0</v>
      </c>
      <c r="T126" s="42">
        <f t="shared" si="248"/>
        <v>0</v>
      </c>
      <c r="U126" s="42">
        <f t="shared" si="248"/>
        <v>0</v>
      </c>
      <c r="V126" s="237">
        <f t="shared" si="248"/>
        <v>0</v>
      </c>
      <c r="W126" s="42">
        <f t="shared" si="248"/>
        <v>0</v>
      </c>
      <c r="X126" s="42">
        <f>SUM(X124:X125)</f>
        <v>0</v>
      </c>
      <c r="Y126" s="42">
        <f>SUM(Y124:Y125)</f>
        <v>0</v>
      </c>
      <c r="Z126" s="42">
        <f t="shared" si="248"/>
        <v>0</v>
      </c>
      <c r="AA126" s="237">
        <f t="shared" si="248"/>
        <v>0</v>
      </c>
      <c r="AB126" s="42">
        <f t="shared" si="248"/>
        <v>0</v>
      </c>
      <c r="AC126" s="42">
        <f>SUM(AC124:AC125)</f>
        <v>0</v>
      </c>
      <c r="AD126" s="42">
        <f>SUM(AD124:AD125)</f>
        <v>0</v>
      </c>
      <c r="AE126" s="42">
        <f>SUM(AE124:AE125)</f>
        <v>0</v>
      </c>
      <c r="AF126" s="237">
        <f t="shared" si="248"/>
        <v>0</v>
      </c>
      <c r="AG126" s="42">
        <f t="shared" ref="AG126:AQ126" si="249">SUM(AG124:AG125)</f>
        <v>0</v>
      </c>
      <c r="AH126" s="42">
        <f t="shared" si="249"/>
        <v>0</v>
      </c>
      <c r="AI126" s="42">
        <f t="shared" si="249"/>
        <v>0</v>
      </c>
      <c r="AJ126" s="42">
        <f t="shared" si="249"/>
        <v>0</v>
      </c>
      <c r="AK126" s="237">
        <f t="shared" si="249"/>
        <v>0</v>
      </c>
      <c r="AL126" s="42">
        <f t="shared" si="249"/>
        <v>0</v>
      </c>
      <c r="AM126" s="42">
        <f t="shared" si="249"/>
        <v>0</v>
      </c>
      <c r="AN126" s="42">
        <f t="shared" si="249"/>
        <v>0</v>
      </c>
      <c r="AO126" s="42">
        <f t="shared" si="249"/>
        <v>0</v>
      </c>
      <c r="AP126" s="237">
        <f t="shared" si="249"/>
        <v>0</v>
      </c>
      <c r="AQ126" s="42">
        <f t="shared" si="249"/>
        <v>0</v>
      </c>
      <c r="AR126" s="42">
        <f t="shared" ref="AR126:AW126" si="250">SUM(AR124:AR125)</f>
        <v>0</v>
      </c>
      <c r="AS126" s="42">
        <f t="shared" si="250"/>
        <v>0</v>
      </c>
      <c r="AT126" s="42">
        <f t="shared" si="250"/>
        <v>0</v>
      </c>
      <c r="AU126" s="237">
        <f t="shared" si="250"/>
        <v>0</v>
      </c>
      <c r="AV126" s="42">
        <f t="shared" si="250"/>
        <v>0</v>
      </c>
      <c r="AW126" s="42">
        <f t="shared" si="250"/>
        <v>0</v>
      </c>
      <c r="AX126" s="42">
        <f t="shared" ref="AX126:BG126" si="251">SUM(AX124:AX125)</f>
        <v>0</v>
      </c>
      <c r="AY126" s="42">
        <f t="shared" si="251"/>
        <v>0</v>
      </c>
      <c r="AZ126" s="237">
        <f t="shared" si="251"/>
        <v>0</v>
      </c>
      <c r="BA126" s="42">
        <f t="shared" si="251"/>
        <v>0</v>
      </c>
      <c r="BB126" s="42">
        <f t="shared" si="251"/>
        <v>0</v>
      </c>
      <c r="BC126" s="42">
        <f t="shared" si="251"/>
        <v>0</v>
      </c>
      <c r="BD126" s="42">
        <f t="shared" si="251"/>
        <v>0</v>
      </c>
      <c r="BE126" s="237">
        <f t="shared" si="251"/>
        <v>0</v>
      </c>
      <c r="BF126" s="42">
        <f t="shared" si="251"/>
        <v>0</v>
      </c>
      <c r="BG126" s="42">
        <f t="shared" si="251"/>
        <v>0</v>
      </c>
      <c r="BH126" s="42">
        <f t="shared" ref="BH126:BT126" si="252">SUM(BH124:BH125)</f>
        <v>0</v>
      </c>
      <c r="BI126" s="42">
        <f t="shared" si="252"/>
        <v>0</v>
      </c>
      <c r="BJ126" s="237">
        <f t="shared" si="252"/>
        <v>0</v>
      </c>
      <c r="BK126" s="42">
        <f t="shared" si="252"/>
        <v>0</v>
      </c>
      <c r="BL126" s="42">
        <f t="shared" si="252"/>
        <v>0</v>
      </c>
      <c r="BM126" s="42">
        <f>SUM(BM124:BM125)</f>
        <v>0</v>
      </c>
      <c r="BN126" s="374" t="e">
        <f t="shared" si="252"/>
        <v>#DIV/0!</v>
      </c>
      <c r="BO126" s="369" t="e">
        <f t="shared" si="252"/>
        <v>#DIV/0!</v>
      </c>
      <c r="BP126" s="374" t="e">
        <f t="shared" si="252"/>
        <v>#DIV/0!</v>
      </c>
      <c r="BQ126" s="374" t="e">
        <f t="shared" si="252"/>
        <v>#DIV/0!</v>
      </c>
      <c r="BR126" s="374" t="e">
        <f t="shared" si="252"/>
        <v>#DIV/0!</v>
      </c>
      <c r="BS126" s="374" t="e">
        <f t="shared" si="252"/>
        <v>#DIV/0!</v>
      </c>
      <c r="BT126" s="369" t="e">
        <f t="shared" si="252"/>
        <v>#DIV/0!</v>
      </c>
    </row>
    <row r="127" spans="1:72" s="182" customFormat="1" ht="13">
      <c r="A127" s="676">
        <f t="shared" si="171"/>
        <v>121</v>
      </c>
      <c r="E127" s="237"/>
      <c r="F127" s="237"/>
      <c r="G127" s="237"/>
      <c r="H127" s="40"/>
      <c r="I127" s="40"/>
      <c r="J127" s="40"/>
      <c r="K127" s="40"/>
      <c r="L127" s="237"/>
      <c r="M127" s="40"/>
      <c r="N127" s="40"/>
      <c r="O127" s="40"/>
      <c r="P127" s="40"/>
      <c r="Q127" s="237"/>
      <c r="R127" s="40"/>
      <c r="S127" s="40"/>
      <c r="T127" s="40"/>
      <c r="U127" s="40"/>
      <c r="V127" s="237"/>
      <c r="W127" s="40"/>
      <c r="X127" s="40"/>
      <c r="Y127" s="40"/>
      <c r="Z127" s="40"/>
      <c r="AA127" s="237"/>
      <c r="AB127" s="40"/>
      <c r="AC127" s="40"/>
      <c r="AD127" s="40"/>
      <c r="AE127" s="40"/>
      <c r="AF127" s="237"/>
      <c r="AG127" s="40"/>
      <c r="AH127" s="40"/>
      <c r="AI127" s="40"/>
      <c r="AJ127" s="40"/>
      <c r="AK127" s="237"/>
      <c r="AL127" s="40"/>
      <c r="AM127" s="40"/>
      <c r="AN127" s="40"/>
      <c r="AO127" s="40"/>
      <c r="AP127" s="237"/>
      <c r="AQ127" s="40"/>
      <c r="AR127" s="40"/>
      <c r="AS127" s="40"/>
      <c r="AT127" s="40"/>
      <c r="AU127" s="237"/>
      <c r="AV127" s="40"/>
      <c r="AW127" s="40"/>
      <c r="AX127" s="40"/>
      <c r="AY127" s="40"/>
      <c r="AZ127" s="237"/>
      <c r="BA127" s="40"/>
      <c r="BB127" s="40"/>
      <c r="BC127" s="40"/>
      <c r="BD127" s="40"/>
      <c r="BE127" s="237"/>
      <c r="BF127" s="40"/>
      <c r="BG127" s="40"/>
      <c r="BH127" s="40"/>
      <c r="BI127" s="40"/>
      <c r="BJ127" s="237"/>
      <c r="BK127" s="40"/>
      <c r="BL127" s="40"/>
      <c r="BM127" s="40"/>
      <c r="BN127" s="368"/>
      <c r="BO127" s="369"/>
      <c r="BP127" s="368"/>
      <c r="BQ127" s="368"/>
      <c r="BR127" s="368"/>
      <c r="BS127" s="368"/>
      <c r="BT127" s="369"/>
    </row>
    <row r="128" spans="1:72" s="182" customFormat="1" ht="13">
      <c r="A128" s="676">
        <f t="shared" si="171"/>
        <v>122</v>
      </c>
      <c r="B128" s="183" t="s">
        <v>235</v>
      </c>
      <c r="E128" s="237">
        <f t="shared" ref="E128:AJ128" si="253">E122+E126</f>
        <v>0</v>
      </c>
      <c r="F128" s="237">
        <f>F122+F126</f>
        <v>0</v>
      </c>
      <c r="G128" s="237">
        <f>G122+G126</f>
        <v>0</v>
      </c>
      <c r="H128" s="40">
        <f t="shared" si="253"/>
        <v>0</v>
      </c>
      <c r="I128" s="40">
        <f t="shared" si="253"/>
        <v>0</v>
      </c>
      <c r="J128" s="40">
        <f t="shared" si="253"/>
        <v>0</v>
      </c>
      <c r="K128" s="40">
        <f>K122+K126</f>
        <v>0</v>
      </c>
      <c r="L128" s="237">
        <f t="shared" si="253"/>
        <v>0</v>
      </c>
      <c r="M128" s="40">
        <f t="shared" si="253"/>
        <v>0</v>
      </c>
      <c r="N128" s="40">
        <f t="shared" si="253"/>
        <v>0</v>
      </c>
      <c r="O128" s="40">
        <f t="shared" si="253"/>
        <v>0</v>
      </c>
      <c r="P128" s="40">
        <f>P122+P126</f>
        <v>0</v>
      </c>
      <c r="Q128" s="237">
        <f t="shared" si="253"/>
        <v>0</v>
      </c>
      <c r="R128" s="40">
        <f t="shared" si="253"/>
        <v>0</v>
      </c>
      <c r="S128" s="40">
        <f t="shared" si="253"/>
        <v>0</v>
      </c>
      <c r="T128" s="40">
        <f t="shared" si="253"/>
        <v>0</v>
      </c>
      <c r="U128" s="40">
        <f t="shared" si="253"/>
        <v>0</v>
      </c>
      <c r="V128" s="237">
        <f t="shared" si="253"/>
        <v>0</v>
      </c>
      <c r="W128" s="40">
        <f t="shared" si="253"/>
        <v>0</v>
      </c>
      <c r="X128" s="40">
        <f t="shared" ref="X128:AD128" si="254">X122+X126</f>
        <v>0</v>
      </c>
      <c r="Y128" s="40">
        <f t="shared" si="254"/>
        <v>0</v>
      </c>
      <c r="Z128" s="40">
        <f t="shared" si="254"/>
        <v>0</v>
      </c>
      <c r="AA128" s="237">
        <f t="shared" si="254"/>
        <v>0</v>
      </c>
      <c r="AB128" s="40">
        <f t="shared" si="254"/>
        <v>0</v>
      </c>
      <c r="AC128" s="40">
        <f t="shared" si="254"/>
        <v>0</v>
      </c>
      <c r="AD128" s="40">
        <f t="shared" si="254"/>
        <v>0</v>
      </c>
      <c r="AE128" s="40">
        <f>AE122+AE126</f>
        <v>0</v>
      </c>
      <c r="AF128" s="237">
        <f t="shared" si="253"/>
        <v>0</v>
      </c>
      <c r="AG128" s="40">
        <f t="shared" si="253"/>
        <v>0</v>
      </c>
      <c r="AH128" s="40">
        <f t="shared" si="253"/>
        <v>0</v>
      </c>
      <c r="AI128" s="40">
        <f t="shared" si="253"/>
        <v>0</v>
      </c>
      <c r="AJ128" s="40">
        <f t="shared" si="253"/>
        <v>0</v>
      </c>
      <c r="AK128" s="237">
        <f t="shared" ref="AK128:AP128" si="255">AK122+AK126</f>
        <v>0</v>
      </c>
      <c r="AL128" s="40">
        <f t="shared" si="255"/>
        <v>0</v>
      </c>
      <c r="AM128" s="40">
        <f t="shared" si="255"/>
        <v>0</v>
      </c>
      <c r="AN128" s="40">
        <f t="shared" si="255"/>
        <v>0</v>
      </c>
      <c r="AO128" s="40">
        <f t="shared" si="255"/>
        <v>0</v>
      </c>
      <c r="AP128" s="237">
        <f t="shared" si="255"/>
        <v>0</v>
      </c>
      <c r="AQ128" s="40">
        <f>AQ122+AQ126</f>
        <v>0</v>
      </c>
      <c r="AR128" s="40">
        <f>AR122+AR126</f>
        <v>0</v>
      </c>
      <c r="AS128" s="40">
        <f>AS122+AS126</f>
        <v>0</v>
      </c>
      <c r="AT128" s="40">
        <f>AT122+AT126</f>
        <v>0</v>
      </c>
      <c r="AU128" s="237">
        <f>AU122+AU126</f>
        <v>0</v>
      </c>
      <c r="AV128" s="40">
        <f t="shared" ref="AV128:BA128" si="256">AV122+AV126</f>
        <v>0</v>
      </c>
      <c r="AW128" s="40">
        <f t="shared" si="256"/>
        <v>0</v>
      </c>
      <c r="AX128" s="40">
        <f t="shared" si="256"/>
        <v>0</v>
      </c>
      <c r="AY128" s="40">
        <f t="shared" si="256"/>
        <v>0</v>
      </c>
      <c r="AZ128" s="237">
        <f t="shared" si="256"/>
        <v>0</v>
      </c>
      <c r="BA128" s="40">
        <f t="shared" si="256"/>
        <v>0</v>
      </c>
      <c r="BB128" s="40">
        <f t="shared" ref="BB128:BG128" si="257">BB122+BB126</f>
        <v>0</v>
      </c>
      <c r="BC128" s="40">
        <f t="shared" si="257"/>
        <v>0</v>
      </c>
      <c r="BD128" s="40">
        <f t="shared" si="257"/>
        <v>0</v>
      </c>
      <c r="BE128" s="237">
        <f t="shared" si="257"/>
        <v>0</v>
      </c>
      <c r="BF128" s="40">
        <f t="shared" si="257"/>
        <v>0</v>
      </c>
      <c r="BG128" s="40">
        <f t="shared" si="257"/>
        <v>0</v>
      </c>
      <c r="BH128" s="40">
        <f t="shared" ref="BH128:BT128" si="258">BH122+BH126</f>
        <v>0</v>
      </c>
      <c r="BI128" s="40">
        <f t="shared" si="258"/>
        <v>0</v>
      </c>
      <c r="BJ128" s="237">
        <f t="shared" si="258"/>
        <v>0</v>
      </c>
      <c r="BK128" s="40">
        <f t="shared" si="258"/>
        <v>0</v>
      </c>
      <c r="BL128" s="40">
        <f t="shared" si="258"/>
        <v>0</v>
      </c>
      <c r="BM128" s="40">
        <f>BM122+BM126</f>
        <v>0</v>
      </c>
      <c r="BN128" s="368" t="e">
        <f t="shared" si="258"/>
        <v>#DIV/0!</v>
      </c>
      <c r="BO128" s="369" t="e">
        <f t="shared" si="258"/>
        <v>#DIV/0!</v>
      </c>
      <c r="BP128" s="368" t="e">
        <f t="shared" si="258"/>
        <v>#DIV/0!</v>
      </c>
      <c r="BQ128" s="368" t="e">
        <f t="shared" si="258"/>
        <v>#DIV/0!</v>
      </c>
      <c r="BR128" s="368" t="e">
        <f t="shared" si="258"/>
        <v>#DIV/0!</v>
      </c>
      <c r="BS128" s="368" t="e">
        <f t="shared" si="258"/>
        <v>#DIV/0!</v>
      </c>
      <c r="BT128" s="369" t="e">
        <f t="shared" si="258"/>
        <v>#DIV/0!</v>
      </c>
    </row>
    <row r="129" spans="1:72" s="182" customFormat="1" ht="13">
      <c r="A129" s="676">
        <f t="shared" si="171"/>
        <v>123</v>
      </c>
      <c r="B129" s="207"/>
      <c r="E129" s="274"/>
      <c r="F129" s="274"/>
      <c r="G129" s="274"/>
      <c r="H129" s="41"/>
      <c r="I129" s="41"/>
      <c r="J129" s="41"/>
      <c r="K129" s="41"/>
      <c r="L129" s="274"/>
      <c r="M129" s="41"/>
      <c r="N129" s="41"/>
      <c r="O129" s="41"/>
      <c r="P129" s="41"/>
      <c r="Q129" s="274"/>
      <c r="R129" s="41"/>
      <c r="S129" s="41"/>
      <c r="T129" s="41"/>
      <c r="U129" s="41"/>
      <c r="V129" s="274"/>
      <c r="W129" s="41"/>
      <c r="X129" s="41"/>
      <c r="Y129" s="41"/>
      <c r="Z129" s="41"/>
      <c r="AA129" s="274"/>
      <c r="AB129" s="41"/>
      <c r="AC129" s="41"/>
      <c r="AD129" s="41"/>
      <c r="AE129" s="41"/>
      <c r="AF129" s="274"/>
      <c r="AG129" s="41"/>
      <c r="AH129" s="41"/>
      <c r="AI129" s="41"/>
      <c r="AJ129" s="41"/>
      <c r="AK129" s="274"/>
      <c r="AL129" s="41"/>
      <c r="AM129" s="41"/>
      <c r="AN129" s="41"/>
      <c r="AO129" s="41"/>
      <c r="AP129" s="274"/>
      <c r="AQ129" s="41"/>
      <c r="AR129" s="41"/>
      <c r="AS129" s="41"/>
      <c r="AT129" s="41"/>
      <c r="AU129" s="274"/>
      <c r="AV129" s="41"/>
      <c r="AW129" s="41"/>
      <c r="AX129" s="41"/>
      <c r="AY129" s="41"/>
      <c r="AZ129" s="274"/>
      <c r="BA129" s="41"/>
      <c r="BB129" s="41"/>
      <c r="BC129" s="41"/>
      <c r="BD129" s="41"/>
      <c r="BE129" s="274"/>
      <c r="BF129" s="41"/>
      <c r="BG129" s="41"/>
      <c r="BH129" s="41"/>
      <c r="BI129" s="41"/>
      <c r="BJ129" s="274"/>
      <c r="BK129" s="41"/>
      <c r="BL129" s="41"/>
      <c r="BM129" s="41"/>
      <c r="BN129" s="409"/>
      <c r="BO129" s="410"/>
      <c r="BP129" s="409"/>
      <c r="BQ129" s="409"/>
      <c r="BR129" s="409"/>
      <c r="BS129" s="409"/>
      <c r="BT129" s="410"/>
    </row>
    <row r="130" spans="1:72" s="182" customFormat="1" ht="13">
      <c r="A130" s="676">
        <f t="shared" si="171"/>
        <v>124</v>
      </c>
      <c r="B130" s="193" t="s">
        <v>236</v>
      </c>
      <c r="E130" s="274"/>
      <c r="F130" s="274"/>
      <c r="G130" s="274"/>
      <c r="H130" s="41"/>
      <c r="I130" s="41"/>
      <c r="J130" s="41"/>
      <c r="K130" s="41"/>
      <c r="L130" s="274"/>
      <c r="M130" s="41"/>
      <c r="N130" s="41"/>
      <c r="O130" s="41"/>
      <c r="P130" s="41"/>
      <c r="Q130" s="274"/>
      <c r="R130" s="41"/>
      <c r="S130" s="41"/>
      <c r="T130" s="41"/>
      <c r="U130" s="41"/>
      <c r="V130" s="274"/>
      <c r="W130" s="41"/>
      <c r="X130" s="41"/>
      <c r="Y130" s="41"/>
      <c r="Z130" s="41"/>
      <c r="AA130" s="274"/>
      <c r="AB130" s="41"/>
      <c r="AC130" s="41"/>
      <c r="AD130" s="41"/>
      <c r="AE130" s="41"/>
      <c r="AF130" s="274"/>
      <c r="AG130" s="41"/>
      <c r="AH130" s="41"/>
      <c r="AI130" s="41"/>
      <c r="AJ130" s="41"/>
      <c r="AK130" s="274"/>
      <c r="AL130" s="41"/>
      <c r="AM130" s="41"/>
      <c r="AN130" s="41"/>
      <c r="AO130" s="41"/>
      <c r="AP130" s="274"/>
      <c r="AQ130" s="41"/>
      <c r="AR130" s="41"/>
      <c r="AS130" s="41"/>
      <c r="AT130" s="41"/>
      <c r="AU130" s="274"/>
      <c r="AV130" s="41"/>
      <c r="AW130" s="41"/>
      <c r="AX130" s="41"/>
      <c r="AY130" s="41"/>
      <c r="AZ130" s="274"/>
      <c r="BA130" s="41"/>
      <c r="BB130" s="41"/>
      <c r="BC130" s="41"/>
      <c r="BD130" s="41"/>
      <c r="BE130" s="274"/>
      <c r="BF130" s="41"/>
      <c r="BG130" s="41"/>
      <c r="BH130" s="41"/>
      <c r="BI130" s="41"/>
      <c r="BJ130" s="274"/>
      <c r="BK130" s="41"/>
      <c r="BL130" s="41"/>
      <c r="BM130" s="41"/>
      <c r="BN130" s="409"/>
      <c r="BO130" s="410"/>
      <c r="BP130" s="409"/>
      <c r="BQ130" s="409"/>
      <c r="BR130" s="409"/>
      <c r="BS130" s="409"/>
      <c r="BT130" s="410"/>
    </row>
    <row r="131" spans="1:72" s="28" customFormat="1" ht="13">
      <c r="A131" s="676">
        <f t="shared" si="171"/>
        <v>125</v>
      </c>
      <c r="B131" s="27" t="s">
        <v>170</v>
      </c>
      <c r="E131" s="237">
        <f t="shared" ref="E131:AJ131" si="259">SUM(E132:E137)</f>
        <v>0</v>
      </c>
      <c r="F131" s="237">
        <f t="shared" si="259"/>
        <v>0</v>
      </c>
      <c r="G131" s="237">
        <f t="shared" si="259"/>
        <v>0</v>
      </c>
      <c r="H131" s="40">
        <f t="shared" si="259"/>
        <v>0</v>
      </c>
      <c r="I131" s="40">
        <f t="shared" si="259"/>
        <v>0</v>
      </c>
      <c r="J131" s="40">
        <f t="shared" si="259"/>
        <v>0</v>
      </c>
      <c r="K131" s="269">
        <f t="shared" si="259"/>
        <v>0</v>
      </c>
      <c r="L131" s="237">
        <f t="shared" si="259"/>
        <v>0</v>
      </c>
      <c r="M131" s="40">
        <f t="shared" si="259"/>
        <v>0</v>
      </c>
      <c r="N131" s="40">
        <f t="shared" si="259"/>
        <v>0</v>
      </c>
      <c r="O131" s="40">
        <f t="shared" si="259"/>
        <v>0</v>
      </c>
      <c r="P131" s="269">
        <f t="shared" si="259"/>
        <v>0</v>
      </c>
      <c r="Q131" s="237">
        <f t="shared" si="259"/>
        <v>0</v>
      </c>
      <c r="R131" s="40">
        <f t="shared" si="259"/>
        <v>0</v>
      </c>
      <c r="S131" s="40">
        <f t="shared" si="259"/>
        <v>0</v>
      </c>
      <c r="T131" s="40">
        <f t="shared" si="259"/>
        <v>0</v>
      </c>
      <c r="U131" s="37">
        <f t="shared" si="259"/>
        <v>0</v>
      </c>
      <c r="V131" s="145">
        <f t="shared" si="259"/>
        <v>0</v>
      </c>
      <c r="W131" s="40">
        <f t="shared" si="259"/>
        <v>0</v>
      </c>
      <c r="X131" s="40">
        <f t="shared" ref="X131:AD131" si="260">SUM(X132:X137)</f>
        <v>0</v>
      </c>
      <c r="Y131" s="40">
        <f t="shared" si="260"/>
        <v>0</v>
      </c>
      <c r="Z131" s="37">
        <f t="shared" si="260"/>
        <v>0</v>
      </c>
      <c r="AA131" s="145">
        <f t="shared" si="260"/>
        <v>0</v>
      </c>
      <c r="AB131" s="40">
        <f t="shared" si="260"/>
        <v>0</v>
      </c>
      <c r="AC131" s="40">
        <f t="shared" si="260"/>
        <v>0</v>
      </c>
      <c r="AD131" s="40">
        <f t="shared" si="260"/>
        <v>0</v>
      </c>
      <c r="AE131" s="37">
        <f>SUM(AE132:AE137)</f>
        <v>0</v>
      </c>
      <c r="AF131" s="237">
        <f t="shared" si="259"/>
        <v>0</v>
      </c>
      <c r="AG131" s="40">
        <f t="shared" si="259"/>
        <v>0</v>
      </c>
      <c r="AH131" s="40">
        <f t="shared" si="259"/>
        <v>0</v>
      </c>
      <c r="AI131" s="40">
        <f t="shared" si="259"/>
        <v>0</v>
      </c>
      <c r="AJ131" s="37">
        <f t="shared" si="259"/>
        <v>0</v>
      </c>
      <c r="AK131" s="237">
        <f t="shared" ref="AK131:AP131" si="261">SUM(AK132:AK137)</f>
        <v>0</v>
      </c>
      <c r="AL131" s="40">
        <f t="shared" si="261"/>
        <v>0</v>
      </c>
      <c r="AM131" s="40">
        <f t="shared" si="261"/>
        <v>0</v>
      </c>
      <c r="AN131" s="40">
        <f t="shared" si="261"/>
        <v>0</v>
      </c>
      <c r="AO131" s="37">
        <f t="shared" si="261"/>
        <v>0</v>
      </c>
      <c r="AP131" s="237">
        <f t="shared" si="261"/>
        <v>0</v>
      </c>
      <c r="AQ131" s="40">
        <f>SUM(AQ132:AQ137)</f>
        <v>0</v>
      </c>
      <c r="AR131" s="40">
        <f>SUM(AR132:AR137)</f>
        <v>0</v>
      </c>
      <c r="AS131" s="40">
        <f>SUM(AS132:AS137)</f>
        <v>0</v>
      </c>
      <c r="AT131" s="37">
        <f>SUM(AT132:AT137)</f>
        <v>0</v>
      </c>
      <c r="AU131" s="237">
        <f>SUM(AU132:AU137)</f>
        <v>0</v>
      </c>
      <c r="AV131" s="40">
        <f t="shared" ref="AV131:BB131" si="262">SUM(AV132:AV137)</f>
        <v>0</v>
      </c>
      <c r="AW131" s="40">
        <f t="shared" si="262"/>
        <v>0</v>
      </c>
      <c r="AX131" s="40">
        <f t="shared" si="262"/>
        <v>0</v>
      </c>
      <c r="AY131" s="37">
        <f t="shared" si="262"/>
        <v>0</v>
      </c>
      <c r="AZ131" s="237">
        <f t="shared" si="262"/>
        <v>0</v>
      </c>
      <c r="BA131" s="40">
        <f t="shared" si="262"/>
        <v>0</v>
      </c>
      <c r="BB131" s="40">
        <f t="shared" si="262"/>
        <v>0</v>
      </c>
      <c r="BC131" s="40">
        <f t="shared" ref="BC131:BH131" si="263">SUM(BC132:BC137)</f>
        <v>0</v>
      </c>
      <c r="BD131" s="37">
        <f t="shared" si="263"/>
        <v>0</v>
      </c>
      <c r="BE131" s="237">
        <f t="shared" si="263"/>
        <v>0</v>
      </c>
      <c r="BF131" s="40">
        <f t="shared" si="263"/>
        <v>0</v>
      </c>
      <c r="BG131" s="40">
        <f t="shared" si="263"/>
        <v>0</v>
      </c>
      <c r="BH131" s="40">
        <f t="shared" si="263"/>
        <v>0</v>
      </c>
      <c r="BI131" s="37">
        <f t="shared" ref="BI131:BT131" si="264">SUM(BI132:BI137)</f>
        <v>0</v>
      </c>
      <c r="BJ131" s="237">
        <f t="shared" si="264"/>
        <v>0</v>
      </c>
      <c r="BK131" s="40">
        <f t="shared" si="264"/>
        <v>0</v>
      </c>
      <c r="BL131" s="40">
        <f t="shared" si="264"/>
        <v>0</v>
      </c>
      <c r="BM131" s="40">
        <f>SUM(BM132:BM137)</f>
        <v>0</v>
      </c>
      <c r="BN131" s="368">
        <f t="shared" si="264"/>
        <v>0</v>
      </c>
      <c r="BO131" s="369">
        <f t="shared" si="264"/>
        <v>0</v>
      </c>
      <c r="BP131" s="368">
        <f t="shared" si="264"/>
        <v>0</v>
      </c>
      <c r="BQ131" s="368">
        <f t="shared" si="264"/>
        <v>0</v>
      </c>
      <c r="BR131" s="368">
        <f t="shared" si="264"/>
        <v>0</v>
      </c>
      <c r="BS131" s="368">
        <f t="shared" si="264"/>
        <v>0</v>
      </c>
      <c r="BT131" s="369">
        <f t="shared" si="264"/>
        <v>0</v>
      </c>
    </row>
    <row r="132" spans="1:72" s="182" customFormat="1" ht="13" outlineLevel="1">
      <c r="A132" s="676">
        <f t="shared" si="171"/>
        <v>126</v>
      </c>
      <c r="B132" s="294" t="s">
        <v>237</v>
      </c>
      <c r="E132" s="237"/>
      <c r="F132" s="237"/>
      <c r="G132" s="237"/>
      <c r="H132" s="40"/>
      <c r="I132" s="40"/>
      <c r="J132" s="40"/>
      <c r="K132" s="269"/>
      <c r="L132" s="237"/>
      <c r="M132" s="40"/>
      <c r="N132" s="40"/>
      <c r="O132" s="40"/>
      <c r="P132" s="269"/>
      <c r="Q132" s="237"/>
      <c r="R132" s="40"/>
      <c r="S132" s="40"/>
      <c r="T132" s="40"/>
      <c r="U132" s="37"/>
      <c r="V132" s="145"/>
      <c r="W132" s="40"/>
      <c r="X132" s="40"/>
      <c r="Y132" s="40"/>
      <c r="Z132" s="37"/>
      <c r="AA132" s="145"/>
      <c r="AB132" s="40"/>
      <c r="AC132" s="40"/>
      <c r="AD132" s="40"/>
      <c r="AE132" s="37"/>
      <c r="AF132" s="237"/>
      <c r="AG132" s="40"/>
      <c r="AH132" s="40"/>
      <c r="AI132" s="40"/>
      <c r="AJ132" s="37"/>
      <c r="AK132" s="237"/>
      <c r="AL132" s="40"/>
      <c r="AM132" s="40"/>
      <c r="AN132" s="40"/>
      <c r="AO132" s="37"/>
      <c r="AP132" s="237"/>
      <c r="AQ132" s="40"/>
      <c r="AR132" s="40"/>
      <c r="AS132" s="40"/>
      <c r="AT132" s="37"/>
      <c r="AU132" s="237"/>
      <c r="AV132" s="40"/>
      <c r="AW132" s="40"/>
      <c r="AX132" s="40"/>
      <c r="AY132" s="37"/>
      <c r="AZ132" s="237"/>
      <c r="BA132" s="40"/>
      <c r="BB132" s="40"/>
      <c r="BC132" s="40"/>
      <c r="BD132" s="37"/>
      <c r="BE132" s="237"/>
      <c r="BF132" s="40"/>
      <c r="BG132" s="40"/>
      <c r="BH132" s="40"/>
      <c r="BI132" s="37"/>
      <c r="BJ132" s="237"/>
      <c r="BK132" s="40"/>
      <c r="BL132" s="40"/>
      <c r="BM132" s="40"/>
      <c r="BN132" s="368"/>
      <c r="BO132" s="369"/>
      <c r="BP132" s="368"/>
      <c r="BQ132" s="368"/>
      <c r="BR132" s="368"/>
      <c r="BS132" s="368"/>
      <c r="BT132" s="369"/>
    </row>
    <row r="133" spans="1:72" s="182" customFormat="1" ht="13" outlineLevel="1">
      <c r="A133" s="676">
        <f t="shared" si="171"/>
        <v>127</v>
      </c>
      <c r="B133" s="294" t="s">
        <v>238</v>
      </c>
      <c r="E133" s="237"/>
      <c r="F133" s="237"/>
      <c r="G133" s="237"/>
      <c r="H133" s="40"/>
      <c r="I133" s="40"/>
      <c r="J133" s="40"/>
      <c r="K133" s="269"/>
      <c r="L133" s="237"/>
      <c r="M133" s="40"/>
      <c r="N133" s="40"/>
      <c r="O133" s="40"/>
      <c r="P133" s="269"/>
      <c r="Q133" s="237"/>
      <c r="R133" s="40"/>
      <c r="S133" s="40"/>
      <c r="T133" s="40"/>
      <c r="U133" s="37"/>
      <c r="V133" s="145"/>
      <c r="W133" s="40"/>
      <c r="X133" s="40"/>
      <c r="Y133" s="40"/>
      <c r="Z133" s="37"/>
      <c r="AA133" s="145"/>
      <c r="AB133" s="40"/>
      <c r="AC133" s="40"/>
      <c r="AD133" s="40"/>
      <c r="AE133" s="37"/>
      <c r="AF133" s="237"/>
      <c r="AG133" s="40"/>
      <c r="AH133" s="40"/>
      <c r="AI133" s="40"/>
      <c r="AJ133" s="37"/>
      <c r="AK133" s="237"/>
      <c r="AL133" s="40"/>
      <c r="AM133" s="40"/>
      <c r="AN133" s="40"/>
      <c r="AO133" s="37"/>
      <c r="AP133" s="237"/>
      <c r="AQ133" s="40"/>
      <c r="AR133" s="40"/>
      <c r="AS133" s="40"/>
      <c r="AT133" s="37"/>
      <c r="AU133" s="237"/>
      <c r="AV133" s="40"/>
      <c r="AW133" s="40"/>
      <c r="AX133" s="40"/>
      <c r="AY133" s="37"/>
      <c r="AZ133" s="237"/>
      <c r="BA133" s="40"/>
      <c r="BB133" s="40"/>
      <c r="BC133" s="40"/>
      <c r="BD133" s="37"/>
      <c r="BE133" s="237"/>
      <c r="BF133" s="40"/>
      <c r="BG133" s="40"/>
      <c r="BH133" s="40"/>
      <c r="BI133" s="37"/>
      <c r="BJ133" s="237"/>
      <c r="BK133" s="40"/>
      <c r="BL133" s="40"/>
      <c r="BM133" s="40"/>
      <c r="BN133" s="368"/>
      <c r="BO133" s="369"/>
      <c r="BP133" s="368"/>
      <c r="BQ133" s="368"/>
      <c r="BR133" s="368"/>
      <c r="BS133" s="368"/>
      <c r="BT133" s="369"/>
    </row>
    <row r="134" spans="1:72" s="182" customFormat="1" ht="13" outlineLevel="1">
      <c r="A134" s="676">
        <f t="shared" si="171"/>
        <v>128</v>
      </c>
      <c r="B134" s="294" t="s">
        <v>239</v>
      </c>
      <c r="E134" s="237"/>
      <c r="F134" s="237"/>
      <c r="G134" s="237"/>
      <c r="H134" s="40"/>
      <c r="I134" s="40"/>
      <c r="J134" s="40"/>
      <c r="K134" s="269"/>
      <c r="L134" s="237"/>
      <c r="M134" s="40"/>
      <c r="N134" s="40"/>
      <c r="O134" s="40"/>
      <c r="P134" s="269"/>
      <c r="Q134" s="237"/>
      <c r="R134" s="40"/>
      <c r="S134" s="40"/>
      <c r="T134" s="40"/>
      <c r="U134" s="37"/>
      <c r="V134" s="145"/>
      <c r="W134" s="40"/>
      <c r="X134" s="40"/>
      <c r="Y134" s="40"/>
      <c r="Z134" s="37"/>
      <c r="AA134" s="145"/>
      <c r="AB134" s="40"/>
      <c r="AC134" s="40"/>
      <c r="AD134" s="40"/>
      <c r="AE134" s="37"/>
      <c r="AF134" s="237"/>
      <c r="AG134" s="40"/>
      <c r="AH134" s="40"/>
      <c r="AI134" s="40"/>
      <c r="AJ134" s="37"/>
      <c r="AK134" s="237"/>
      <c r="AL134" s="40"/>
      <c r="AM134" s="40"/>
      <c r="AN134" s="40"/>
      <c r="AO134" s="37"/>
      <c r="AP134" s="237"/>
      <c r="AQ134" s="40"/>
      <c r="AR134" s="40"/>
      <c r="AS134" s="40"/>
      <c r="AT134" s="37"/>
      <c r="AU134" s="237"/>
      <c r="AV134" s="40"/>
      <c r="AW134" s="40"/>
      <c r="AX134" s="40"/>
      <c r="AY134" s="37"/>
      <c r="AZ134" s="237"/>
      <c r="BA134" s="40"/>
      <c r="BB134" s="40"/>
      <c r="BC134" s="40"/>
      <c r="BD134" s="37"/>
      <c r="BE134" s="237"/>
      <c r="BF134" s="40"/>
      <c r="BG134" s="40"/>
      <c r="BH134" s="40"/>
      <c r="BI134" s="37"/>
      <c r="BJ134" s="237"/>
      <c r="BK134" s="40"/>
      <c r="BL134" s="40"/>
      <c r="BM134" s="40"/>
      <c r="BN134" s="368"/>
      <c r="BO134" s="369"/>
      <c r="BP134" s="368"/>
      <c r="BQ134" s="368"/>
      <c r="BR134" s="368"/>
      <c r="BS134" s="368"/>
      <c r="BT134" s="369"/>
    </row>
    <row r="135" spans="1:72" s="182" customFormat="1" ht="13" outlineLevel="1">
      <c r="A135" s="676">
        <f t="shared" si="171"/>
        <v>129</v>
      </c>
      <c r="B135" s="294" t="s">
        <v>240</v>
      </c>
      <c r="E135" s="237"/>
      <c r="F135" s="237"/>
      <c r="G135" s="237"/>
      <c r="H135" s="40"/>
      <c r="I135" s="40"/>
      <c r="J135" s="40"/>
      <c r="K135" s="269"/>
      <c r="L135" s="237"/>
      <c r="M135" s="40"/>
      <c r="N135" s="40"/>
      <c r="O135" s="40"/>
      <c r="P135" s="269"/>
      <c r="Q135" s="237"/>
      <c r="R135" s="40"/>
      <c r="S135" s="40"/>
      <c r="T135" s="40"/>
      <c r="U135" s="37"/>
      <c r="V135" s="145"/>
      <c r="W135" s="40"/>
      <c r="X135" s="40"/>
      <c r="Y135" s="40"/>
      <c r="Z135" s="37"/>
      <c r="AA135" s="145"/>
      <c r="AB135" s="40"/>
      <c r="AC135" s="40"/>
      <c r="AD135" s="40"/>
      <c r="AE135" s="37"/>
      <c r="AF135" s="237"/>
      <c r="AG135" s="40"/>
      <c r="AH135" s="40"/>
      <c r="AI135" s="40"/>
      <c r="AJ135" s="37"/>
      <c r="AK135" s="237"/>
      <c r="AL135" s="40"/>
      <c r="AM135" s="40"/>
      <c r="AN135" s="40"/>
      <c r="AO135" s="37"/>
      <c r="AP135" s="237"/>
      <c r="AQ135" s="40"/>
      <c r="AR135" s="40"/>
      <c r="AS135" s="40"/>
      <c r="AT135" s="37"/>
      <c r="AU135" s="237"/>
      <c r="AV135" s="40"/>
      <c r="AW135" s="40"/>
      <c r="AX135" s="40"/>
      <c r="AY135" s="37"/>
      <c r="AZ135" s="237"/>
      <c r="BA135" s="40"/>
      <c r="BB135" s="40"/>
      <c r="BC135" s="40"/>
      <c r="BD135" s="37"/>
      <c r="BE135" s="237"/>
      <c r="BF135" s="40"/>
      <c r="BG135" s="40"/>
      <c r="BH135" s="40"/>
      <c r="BI135" s="37"/>
      <c r="BJ135" s="237"/>
      <c r="BK135" s="40"/>
      <c r="BL135" s="40"/>
      <c r="BM135" s="40"/>
      <c r="BN135" s="368"/>
      <c r="BO135" s="369"/>
      <c r="BP135" s="368"/>
      <c r="BQ135" s="368"/>
      <c r="BR135" s="368"/>
      <c r="BS135" s="368"/>
      <c r="BT135" s="369"/>
    </row>
    <row r="136" spans="1:72" s="182" customFormat="1" ht="13" outlineLevel="1">
      <c r="A136" s="676">
        <f t="shared" si="171"/>
        <v>130</v>
      </c>
      <c r="B136" s="294" t="s">
        <v>241</v>
      </c>
      <c r="E136" s="237"/>
      <c r="F136" s="237"/>
      <c r="G136" s="237"/>
      <c r="H136" s="40"/>
      <c r="I136" s="40"/>
      <c r="J136" s="40"/>
      <c r="K136" s="269"/>
      <c r="L136" s="237"/>
      <c r="M136" s="40"/>
      <c r="N136" s="40"/>
      <c r="O136" s="40"/>
      <c r="P136" s="269"/>
      <c r="Q136" s="237"/>
      <c r="R136" s="40"/>
      <c r="S136" s="40"/>
      <c r="T136" s="40"/>
      <c r="U136" s="37"/>
      <c r="V136" s="145"/>
      <c r="W136" s="40"/>
      <c r="X136" s="40"/>
      <c r="Y136" s="40"/>
      <c r="Z136" s="37"/>
      <c r="AA136" s="145"/>
      <c r="AB136" s="40"/>
      <c r="AC136" s="40"/>
      <c r="AD136" s="40"/>
      <c r="AE136" s="37"/>
      <c r="AF136" s="237"/>
      <c r="AG136" s="40"/>
      <c r="AH136" s="40"/>
      <c r="AI136" s="40"/>
      <c r="AJ136" s="37"/>
      <c r="AK136" s="237"/>
      <c r="AL136" s="40"/>
      <c r="AM136" s="40"/>
      <c r="AN136" s="40"/>
      <c r="AO136" s="37"/>
      <c r="AP136" s="237"/>
      <c r="AQ136" s="40"/>
      <c r="AR136" s="40"/>
      <c r="AS136" s="40"/>
      <c r="AT136" s="37"/>
      <c r="AU136" s="237"/>
      <c r="AV136" s="40"/>
      <c r="AW136" s="40"/>
      <c r="AX136" s="40"/>
      <c r="AY136" s="37"/>
      <c r="AZ136" s="237"/>
      <c r="BA136" s="40"/>
      <c r="BB136" s="40"/>
      <c r="BC136" s="40"/>
      <c r="BD136" s="37"/>
      <c r="BE136" s="237"/>
      <c r="BF136" s="40"/>
      <c r="BG136" s="40"/>
      <c r="BH136" s="40"/>
      <c r="BI136" s="37"/>
      <c r="BJ136" s="237"/>
      <c r="BK136" s="40"/>
      <c r="BL136" s="40"/>
      <c r="BM136" s="40"/>
      <c r="BN136" s="368"/>
      <c r="BO136" s="369"/>
      <c r="BP136" s="368"/>
      <c r="BQ136" s="368"/>
      <c r="BR136" s="368"/>
      <c r="BS136" s="368"/>
      <c r="BT136" s="369"/>
    </row>
    <row r="137" spans="1:72" s="182" customFormat="1" ht="13" outlineLevel="1">
      <c r="A137" s="676">
        <f t="shared" ref="A137:A200" si="265">+A136+1</f>
        <v>131</v>
      </c>
      <c r="B137" s="294" t="s">
        <v>242</v>
      </c>
      <c r="E137" s="237"/>
      <c r="F137" s="237"/>
      <c r="G137" s="237"/>
      <c r="H137" s="40"/>
      <c r="I137" s="40"/>
      <c r="J137" s="40"/>
      <c r="K137" s="269"/>
      <c r="L137" s="237"/>
      <c r="M137" s="40"/>
      <c r="N137" s="40"/>
      <c r="O137" s="40"/>
      <c r="P137" s="269"/>
      <c r="Q137" s="237"/>
      <c r="R137" s="40"/>
      <c r="S137" s="40"/>
      <c r="T137" s="40"/>
      <c r="U137" s="37"/>
      <c r="V137" s="145"/>
      <c r="W137" s="40"/>
      <c r="X137" s="40"/>
      <c r="Y137" s="40"/>
      <c r="Z137" s="37"/>
      <c r="AA137" s="145"/>
      <c r="AB137" s="40"/>
      <c r="AC137" s="40"/>
      <c r="AD137" s="40"/>
      <c r="AE137" s="37"/>
      <c r="AF137" s="237"/>
      <c r="AG137" s="40"/>
      <c r="AH137" s="40"/>
      <c r="AI137" s="40"/>
      <c r="AJ137" s="37"/>
      <c r="AK137" s="237"/>
      <c r="AL137" s="40"/>
      <c r="AM137" s="40"/>
      <c r="AN137" s="40"/>
      <c r="AO137" s="37"/>
      <c r="AP137" s="237"/>
      <c r="AQ137" s="40"/>
      <c r="AR137" s="40"/>
      <c r="AS137" s="40"/>
      <c r="AT137" s="37"/>
      <c r="AU137" s="237"/>
      <c r="AV137" s="40"/>
      <c r="AW137" s="40"/>
      <c r="AX137" s="40"/>
      <c r="AY137" s="37"/>
      <c r="AZ137" s="237"/>
      <c r="BA137" s="40"/>
      <c r="BB137" s="40"/>
      <c r="BC137" s="40"/>
      <c r="BD137" s="37"/>
      <c r="BE137" s="237"/>
      <c r="BF137" s="40"/>
      <c r="BG137" s="40"/>
      <c r="BH137" s="40"/>
      <c r="BI137" s="37"/>
      <c r="BJ137" s="237"/>
      <c r="BK137" s="40"/>
      <c r="BL137" s="40"/>
      <c r="BM137" s="40"/>
      <c r="BN137" s="368"/>
      <c r="BO137" s="369"/>
      <c r="BP137" s="368"/>
      <c r="BQ137" s="368"/>
      <c r="BR137" s="368"/>
      <c r="BS137" s="368"/>
      <c r="BT137" s="369"/>
    </row>
    <row r="138" spans="1:72" s="28" customFormat="1" ht="13">
      <c r="A138" s="676">
        <f t="shared" si="265"/>
        <v>132</v>
      </c>
      <c r="B138" s="27" t="s">
        <v>243</v>
      </c>
      <c r="E138" s="237">
        <f t="shared" ref="E138:AJ138" si="266">SUM(E139:E144)</f>
        <v>0</v>
      </c>
      <c r="F138" s="237">
        <f t="shared" si="266"/>
        <v>0</v>
      </c>
      <c r="G138" s="237">
        <f t="shared" si="266"/>
        <v>0</v>
      </c>
      <c r="H138" s="40">
        <f t="shared" si="266"/>
        <v>0</v>
      </c>
      <c r="I138" s="40">
        <f t="shared" si="266"/>
        <v>0</v>
      </c>
      <c r="J138" s="40">
        <f t="shared" si="266"/>
        <v>0</v>
      </c>
      <c r="K138" s="269">
        <f t="shared" si="266"/>
        <v>0</v>
      </c>
      <c r="L138" s="237">
        <f t="shared" si="266"/>
        <v>0</v>
      </c>
      <c r="M138" s="40">
        <f t="shared" si="266"/>
        <v>0</v>
      </c>
      <c r="N138" s="40">
        <f t="shared" si="266"/>
        <v>0</v>
      </c>
      <c r="O138" s="40">
        <f t="shared" si="266"/>
        <v>0</v>
      </c>
      <c r="P138" s="269">
        <f t="shared" si="266"/>
        <v>0</v>
      </c>
      <c r="Q138" s="237">
        <f t="shared" si="266"/>
        <v>0</v>
      </c>
      <c r="R138" s="40">
        <f t="shared" si="266"/>
        <v>0</v>
      </c>
      <c r="S138" s="40">
        <f t="shared" si="266"/>
        <v>0</v>
      </c>
      <c r="T138" s="40">
        <f t="shared" si="266"/>
        <v>0</v>
      </c>
      <c r="U138" s="37">
        <f t="shared" si="266"/>
        <v>0</v>
      </c>
      <c r="V138" s="145">
        <f t="shared" si="266"/>
        <v>0</v>
      </c>
      <c r="W138" s="40">
        <f t="shared" si="266"/>
        <v>0</v>
      </c>
      <c r="X138" s="40">
        <f t="shared" ref="X138:AD138" si="267">SUM(X139:X144)</f>
        <v>0</v>
      </c>
      <c r="Y138" s="40">
        <f t="shared" si="267"/>
        <v>0</v>
      </c>
      <c r="Z138" s="37">
        <f t="shared" si="267"/>
        <v>0</v>
      </c>
      <c r="AA138" s="145">
        <f t="shared" si="267"/>
        <v>0</v>
      </c>
      <c r="AB138" s="40">
        <f t="shared" si="267"/>
        <v>0</v>
      </c>
      <c r="AC138" s="40">
        <f t="shared" si="267"/>
        <v>0</v>
      </c>
      <c r="AD138" s="40">
        <f t="shared" si="267"/>
        <v>0</v>
      </c>
      <c r="AE138" s="37">
        <f>SUM(AE139:AE144)</f>
        <v>0</v>
      </c>
      <c r="AF138" s="237">
        <f t="shared" si="266"/>
        <v>0</v>
      </c>
      <c r="AG138" s="40">
        <f t="shared" si="266"/>
        <v>0</v>
      </c>
      <c r="AH138" s="40">
        <f t="shared" si="266"/>
        <v>0</v>
      </c>
      <c r="AI138" s="40">
        <f t="shared" si="266"/>
        <v>0</v>
      </c>
      <c r="AJ138" s="37">
        <f t="shared" si="266"/>
        <v>0</v>
      </c>
      <c r="AK138" s="237">
        <f t="shared" ref="AK138:AP138" si="268">SUM(AK139:AK144)</f>
        <v>0</v>
      </c>
      <c r="AL138" s="40">
        <f t="shared" si="268"/>
        <v>0</v>
      </c>
      <c r="AM138" s="40">
        <f t="shared" si="268"/>
        <v>0</v>
      </c>
      <c r="AN138" s="40">
        <f t="shared" si="268"/>
        <v>0</v>
      </c>
      <c r="AO138" s="37">
        <f t="shared" si="268"/>
        <v>0</v>
      </c>
      <c r="AP138" s="237">
        <f t="shared" si="268"/>
        <v>0</v>
      </c>
      <c r="AQ138" s="40">
        <f>SUM(AQ139:AQ144)</f>
        <v>0</v>
      </c>
      <c r="AR138" s="40">
        <f>SUM(AR139:AR144)</f>
        <v>0</v>
      </c>
      <c r="AS138" s="40">
        <f>SUM(AS139:AS144)</f>
        <v>0</v>
      </c>
      <c r="AT138" s="37">
        <f>SUM(AT139:AT144)</f>
        <v>0</v>
      </c>
      <c r="AU138" s="237">
        <f>SUM(AU139:AU144)</f>
        <v>0</v>
      </c>
      <c r="AV138" s="40">
        <f t="shared" ref="AV138:BB138" si="269">SUM(AV139:AV144)</f>
        <v>0</v>
      </c>
      <c r="AW138" s="40">
        <f t="shared" si="269"/>
        <v>0</v>
      </c>
      <c r="AX138" s="40">
        <f t="shared" si="269"/>
        <v>0</v>
      </c>
      <c r="AY138" s="37">
        <f t="shared" si="269"/>
        <v>0</v>
      </c>
      <c r="AZ138" s="237">
        <f t="shared" si="269"/>
        <v>0</v>
      </c>
      <c r="BA138" s="40">
        <f t="shared" si="269"/>
        <v>0</v>
      </c>
      <c r="BB138" s="40">
        <f t="shared" si="269"/>
        <v>0</v>
      </c>
      <c r="BC138" s="40">
        <f t="shared" ref="BC138:BH138" si="270">SUM(BC139:BC144)</f>
        <v>0</v>
      </c>
      <c r="BD138" s="37">
        <f t="shared" si="270"/>
        <v>0</v>
      </c>
      <c r="BE138" s="237">
        <f t="shared" si="270"/>
        <v>0</v>
      </c>
      <c r="BF138" s="40">
        <f t="shared" si="270"/>
        <v>0</v>
      </c>
      <c r="BG138" s="40">
        <f t="shared" si="270"/>
        <v>0</v>
      </c>
      <c r="BH138" s="40">
        <f t="shared" si="270"/>
        <v>0</v>
      </c>
      <c r="BI138" s="37">
        <f t="shared" ref="BI138:BT138" si="271">SUM(BI139:BI144)</f>
        <v>0</v>
      </c>
      <c r="BJ138" s="237">
        <f t="shared" si="271"/>
        <v>0</v>
      </c>
      <c r="BK138" s="40">
        <f t="shared" si="271"/>
        <v>0</v>
      </c>
      <c r="BL138" s="40">
        <f t="shared" si="271"/>
        <v>0</v>
      </c>
      <c r="BM138" s="40">
        <f>SUM(BM139:BM144)</f>
        <v>0</v>
      </c>
      <c r="BN138" s="368">
        <f t="shared" si="271"/>
        <v>0</v>
      </c>
      <c r="BO138" s="369">
        <f t="shared" si="271"/>
        <v>0</v>
      </c>
      <c r="BP138" s="368">
        <f t="shared" si="271"/>
        <v>0</v>
      </c>
      <c r="BQ138" s="368">
        <f t="shared" si="271"/>
        <v>0</v>
      </c>
      <c r="BR138" s="368">
        <f t="shared" si="271"/>
        <v>0</v>
      </c>
      <c r="BS138" s="368">
        <f t="shared" si="271"/>
        <v>0</v>
      </c>
      <c r="BT138" s="369">
        <f t="shared" si="271"/>
        <v>0</v>
      </c>
    </row>
    <row r="139" spans="1:72" s="183" customFormat="1" ht="13" outlineLevel="1">
      <c r="A139" s="676">
        <f t="shared" si="265"/>
        <v>133</v>
      </c>
      <c r="B139" s="294" t="s">
        <v>237</v>
      </c>
      <c r="E139" s="644"/>
      <c r="F139" s="644"/>
      <c r="G139" s="644"/>
      <c r="H139" s="645"/>
      <c r="I139" s="645"/>
      <c r="J139" s="645"/>
      <c r="K139" s="646"/>
      <c r="L139" s="644"/>
      <c r="M139" s="645"/>
      <c r="N139" s="645"/>
      <c r="O139" s="645"/>
      <c r="P139" s="646"/>
      <c r="Q139" s="644"/>
      <c r="R139" s="645"/>
      <c r="S139" s="645"/>
      <c r="T139" s="645"/>
      <c r="U139" s="647"/>
      <c r="V139" s="648"/>
      <c r="W139" s="645"/>
      <c r="X139" s="645"/>
      <c r="Y139" s="645"/>
      <c r="Z139" s="647"/>
      <c r="AA139" s="648"/>
      <c r="AB139" s="645"/>
      <c r="AC139" s="645"/>
      <c r="AD139" s="645"/>
      <c r="AE139" s="647"/>
      <c r="AF139" s="644"/>
      <c r="AG139" s="645"/>
      <c r="AH139" s="645"/>
      <c r="AI139" s="645"/>
      <c r="AJ139" s="647"/>
      <c r="AK139" s="644"/>
      <c r="AL139" s="645"/>
      <c r="AM139" s="645"/>
      <c r="AN139" s="645"/>
      <c r="AO139" s="647"/>
      <c r="AP139" s="644"/>
      <c r="AQ139" s="645"/>
      <c r="AR139" s="645"/>
      <c r="AS139" s="645"/>
      <c r="AT139" s="647"/>
      <c r="AU139" s="644"/>
      <c r="AV139" s="645"/>
      <c r="AW139" s="645"/>
      <c r="AX139" s="645"/>
      <c r="AY139" s="647"/>
      <c r="AZ139" s="644"/>
      <c r="BA139" s="645"/>
      <c r="BB139" s="645"/>
      <c r="BC139" s="645"/>
      <c r="BD139" s="647"/>
      <c r="BE139" s="644"/>
      <c r="BF139" s="645"/>
      <c r="BG139" s="645"/>
      <c r="BH139" s="645"/>
      <c r="BI139" s="647"/>
      <c r="BJ139" s="644"/>
      <c r="BK139" s="645"/>
      <c r="BL139" s="645"/>
      <c r="BM139" s="645"/>
      <c r="BN139" s="418"/>
      <c r="BO139" s="419"/>
      <c r="BP139" s="418"/>
      <c r="BQ139" s="418"/>
      <c r="BR139" s="418"/>
      <c r="BS139" s="418"/>
      <c r="BT139" s="419"/>
    </row>
    <row r="140" spans="1:72" s="183" customFormat="1" ht="13" outlineLevel="1">
      <c r="A140" s="676">
        <f t="shared" si="265"/>
        <v>134</v>
      </c>
      <c r="B140" s="294" t="s">
        <v>238</v>
      </c>
      <c r="E140" s="644"/>
      <c r="F140" s="644"/>
      <c r="G140" s="644"/>
      <c r="H140" s="645"/>
      <c r="I140" s="645"/>
      <c r="J140" s="645"/>
      <c r="K140" s="646"/>
      <c r="L140" s="644"/>
      <c r="M140" s="645"/>
      <c r="N140" s="645"/>
      <c r="O140" s="645"/>
      <c r="P140" s="646"/>
      <c r="Q140" s="644"/>
      <c r="R140" s="645"/>
      <c r="S140" s="645"/>
      <c r="T140" s="645"/>
      <c r="U140" s="647"/>
      <c r="V140" s="648"/>
      <c r="W140" s="645"/>
      <c r="X140" s="645"/>
      <c r="Y140" s="645"/>
      <c r="Z140" s="647"/>
      <c r="AA140" s="648"/>
      <c r="AB140" s="645"/>
      <c r="AC140" s="645"/>
      <c r="AD140" s="645"/>
      <c r="AE140" s="647"/>
      <c r="AF140" s="644"/>
      <c r="AG140" s="645"/>
      <c r="AH140" s="645"/>
      <c r="AI140" s="645"/>
      <c r="AJ140" s="647"/>
      <c r="AK140" s="644"/>
      <c r="AL140" s="645"/>
      <c r="AM140" s="645"/>
      <c r="AN140" s="645"/>
      <c r="AO140" s="647"/>
      <c r="AP140" s="644"/>
      <c r="AQ140" s="645"/>
      <c r="AR140" s="645"/>
      <c r="AS140" s="645"/>
      <c r="AT140" s="647"/>
      <c r="AU140" s="644"/>
      <c r="AV140" s="645"/>
      <c r="AW140" s="645"/>
      <c r="AX140" s="645"/>
      <c r="AY140" s="647"/>
      <c r="AZ140" s="644"/>
      <c r="BA140" s="645"/>
      <c r="BB140" s="645"/>
      <c r="BC140" s="645"/>
      <c r="BD140" s="647"/>
      <c r="BE140" s="644"/>
      <c r="BF140" s="645"/>
      <c r="BG140" s="645"/>
      <c r="BH140" s="645"/>
      <c r="BI140" s="647"/>
      <c r="BJ140" s="644"/>
      <c r="BK140" s="645"/>
      <c r="BL140" s="645"/>
      <c r="BM140" s="645"/>
      <c r="BN140" s="418"/>
      <c r="BO140" s="419"/>
      <c r="BP140" s="418"/>
      <c r="BQ140" s="418"/>
      <c r="BR140" s="418"/>
      <c r="BS140" s="418"/>
      <c r="BT140" s="419"/>
    </row>
    <row r="141" spans="1:72" s="183" customFormat="1" ht="13" outlineLevel="1">
      <c r="A141" s="676">
        <f t="shared" si="265"/>
        <v>135</v>
      </c>
      <c r="B141" s="294" t="s">
        <v>239</v>
      </c>
      <c r="E141" s="644"/>
      <c r="F141" s="644"/>
      <c r="G141" s="644"/>
      <c r="H141" s="645"/>
      <c r="I141" s="645"/>
      <c r="J141" s="645"/>
      <c r="K141" s="646"/>
      <c r="L141" s="644"/>
      <c r="M141" s="645"/>
      <c r="N141" s="645"/>
      <c r="O141" s="645"/>
      <c r="P141" s="646"/>
      <c r="Q141" s="644"/>
      <c r="R141" s="645"/>
      <c r="S141" s="645"/>
      <c r="T141" s="645"/>
      <c r="U141" s="647"/>
      <c r="V141" s="648"/>
      <c r="W141" s="645"/>
      <c r="X141" s="645"/>
      <c r="Y141" s="645"/>
      <c r="Z141" s="647"/>
      <c r="AA141" s="648"/>
      <c r="AB141" s="645"/>
      <c r="AC141" s="645"/>
      <c r="AD141" s="645"/>
      <c r="AE141" s="647"/>
      <c r="AF141" s="644"/>
      <c r="AG141" s="645"/>
      <c r="AH141" s="645"/>
      <c r="AI141" s="645"/>
      <c r="AJ141" s="647"/>
      <c r="AK141" s="644"/>
      <c r="AL141" s="645"/>
      <c r="AM141" s="645"/>
      <c r="AN141" s="645"/>
      <c r="AO141" s="647"/>
      <c r="AP141" s="644"/>
      <c r="AQ141" s="645"/>
      <c r="AR141" s="645"/>
      <c r="AS141" s="645"/>
      <c r="AT141" s="647"/>
      <c r="AU141" s="644"/>
      <c r="AV141" s="645"/>
      <c r="AW141" s="645"/>
      <c r="AX141" s="645"/>
      <c r="AY141" s="647"/>
      <c r="AZ141" s="644"/>
      <c r="BA141" s="645"/>
      <c r="BB141" s="645"/>
      <c r="BC141" s="645"/>
      <c r="BD141" s="647"/>
      <c r="BE141" s="644"/>
      <c r="BF141" s="645"/>
      <c r="BG141" s="645"/>
      <c r="BH141" s="645"/>
      <c r="BI141" s="647"/>
      <c r="BJ141" s="644"/>
      <c r="BK141" s="645"/>
      <c r="BL141" s="645"/>
      <c r="BM141" s="645"/>
      <c r="BN141" s="418"/>
      <c r="BO141" s="419"/>
      <c r="BP141" s="418"/>
      <c r="BQ141" s="418"/>
      <c r="BR141" s="418"/>
      <c r="BS141" s="418"/>
      <c r="BT141" s="419"/>
    </row>
    <row r="142" spans="1:72" s="183" customFormat="1" ht="13" outlineLevel="1">
      <c r="A142" s="676">
        <f t="shared" si="265"/>
        <v>136</v>
      </c>
      <c r="B142" s="294" t="s">
        <v>240</v>
      </c>
      <c r="E142" s="644"/>
      <c r="F142" s="644"/>
      <c r="G142" s="644"/>
      <c r="H142" s="645"/>
      <c r="I142" s="645"/>
      <c r="J142" s="645"/>
      <c r="K142" s="646"/>
      <c r="L142" s="644"/>
      <c r="M142" s="645"/>
      <c r="N142" s="645"/>
      <c r="O142" s="645"/>
      <c r="P142" s="646"/>
      <c r="Q142" s="644"/>
      <c r="R142" s="645"/>
      <c r="S142" s="645"/>
      <c r="T142" s="645"/>
      <c r="U142" s="647"/>
      <c r="V142" s="648"/>
      <c r="W142" s="645"/>
      <c r="X142" s="645"/>
      <c r="Y142" s="645"/>
      <c r="Z142" s="647"/>
      <c r="AA142" s="648"/>
      <c r="AB142" s="645"/>
      <c r="AC142" s="645"/>
      <c r="AD142" s="645"/>
      <c r="AE142" s="647"/>
      <c r="AF142" s="644"/>
      <c r="AG142" s="645"/>
      <c r="AH142" s="645"/>
      <c r="AI142" s="645"/>
      <c r="AJ142" s="647"/>
      <c r="AK142" s="644"/>
      <c r="AL142" s="645"/>
      <c r="AM142" s="645"/>
      <c r="AN142" s="645"/>
      <c r="AO142" s="647"/>
      <c r="AP142" s="644"/>
      <c r="AQ142" s="645"/>
      <c r="AR142" s="645"/>
      <c r="AS142" s="645"/>
      <c r="AT142" s="647"/>
      <c r="AU142" s="644"/>
      <c r="AV142" s="645"/>
      <c r="AW142" s="645"/>
      <c r="AX142" s="645"/>
      <c r="AY142" s="647"/>
      <c r="AZ142" s="644"/>
      <c r="BA142" s="645"/>
      <c r="BB142" s="645"/>
      <c r="BC142" s="645"/>
      <c r="BD142" s="647"/>
      <c r="BE142" s="644"/>
      <c r="BF142" s="645"/>
      <c r="BG142" s="645"/>
      <c r="BH142" s="645"/>
      <c r="BI142" s="647"/>
      <c r="BJ142" s="644"/>
      <c r="BK142" s="645"/>
      <c r="BL142" s="645"/>
      <c r="BM142" s="645"/>
      <c r="BN142" s="418"/>
      <c r="BO142" s="419"/>
      <c r="BP142" s="418"/>
      <c r="BQ142" s="418"/>
      <c r="BR142" s="418"/>
      <c r="BS142" s="418"/>
      <c r="BT142" s="419"/>
    </row>
    <row r="143" spans="1:72" s="183" customFormat="1" ht="13" outlineLevel="1">
      <c r="A143" s="676">
        <f t="shared" si="265"/>
        <v>137</v>
      </c>
      <c r="B143" s="294" t="s">
        <v>241</v>
      </c>
      <c r="E143" s="644"/>
      <c r="F143" s="644"/>
      <c r="G143" s="644"/>
      <c r="H143" s="645"/>
      <c r="I143" s="645"/>
      <c r="J143" s="645"/>
      <c r="K143" s="646"/>
      <c r="L143" s="644"/>
      <c r="M143" s="645"/>
      <c r="N143" s="645"/>
      <c r="O143" s="645"/>
      <c r="P143" s="646"/>
      <c r="Q143" s="644"/>
      <c r="R143" s="645"/>
      <c r="S143" s="645"/>
      <c r="T143" s="645"/>
      <c r="U143" s="647"/>
      <c r="V143" s="648"/>
      <c r="W143" s="645"/>
      <c r="X143" s="645"/>
      <c r="Y143" s="645"/>
      <c r="Z143" s="647"/>
      <c r="AA143" s="648"/>
      <c r="AB143" s="645"/>
      <c r="AC143" s="645"/>
      <c r="AD143" s="645"/>
      <c r="AE143" s="647"/>
      <c r="AF143" s="644"/>
      <c r="AG143" s="645"/>
      <c r="AH143" s="645"/>
      <c r="AI143" s="645"/>
      <c r="AJ143" s="647"/>
      <c r="AK143" s="644"/>
      <c r="AL143" s="645"/>
      <c r="AM143" s="645"/>
      <c r="AN143" s="645"/>
      <c r="AO143" s="647"/>
      <c r="AP143" s="644"/>
      <c r="AQ143" s="645"/>
      <c r="AR143" s="645"/>
      <c r="AS143" s="645"/>
      <c r="AT143" s="647"/>
      <c r="AU143" s="644"/>
      <c r="AV143" s="645"/>
      <c r="AW143" s="645"/>
      <c r="AX143" s="645"/>
      <c r="AY143" s="647"/>
      <c r="AZ143" s="644"/>
      <c r="BA143" s="645"/>
      <c r="BB143" s="645"/>
      <c r="BC143" s="645"/>
      <c r="BD143" s="647"/>
      <c r="BE143" s="644"/>
      <c r="BF143" s="645"/>
      <c r="BG143" s="645"/>
      <c r="BH143" s="645"/>
      <c r="BI143" s="647"/>
      <c r="BJ143" s="644"/>
      <c r="BK143" s="645"/>
      <c r="BL143" s="645"/>
      <c r="BM143" s="645"/>
      <c r="BN143" s="418"/>
      <c r="BO143" s="419"/>
      <c r="BP143" s="418"/>
      <c r="BQ143" s="418"/>
      <c r="BR143" s="418"/>
      <c r="BS143" s="418"/>
      <c r="BT143" s="419"/>
    </row>
    <row r="144" spans="1:72" s="183" customFormat="1" ht="13" outlineLevel="1">
      <c r="A144" s="676">
        <f t="shared" si="265"/>
        <v>138</v>
      </c>
      <c r="B144" s="294" t="s">
        <v>242</v>
      </c>
      <c r="E144" s="644"/>
      <c r="F144" s="644"/>
      <c r="G144" s="644"/>
      <c r="H144" s="645"/>
      <c r="I144" s="645"/>
      <c r="J144" s="645"/>
      <c r="K144" s="646"/>
      <c r="L144" s="644"/>
      <c r="M144" s="645"/>
      <c r="N144" s="645"/>
      <c r="O144" s="645"/>
      <c r="P144" s="646"/>
      <c r="Q144" s="644"/>
      <c r="R144" s="645"/>
      <c r="S144" s="645"/>
      <c r="T144" s="645"/>
      <c r="U144" s="647"/>
      <c r="V144" s="648"/>
      <c r="W144" s="645"/>
      <c r="X144" s="645"/>
      <c r="Y144" s="645"/>
      <c r="Z144" s="647"/>
      <c r="AA144" s="648"/>
      <c r="AB144" s="645"/>
      <c r="AC144" s="645"/>
      <c r="AD144" s="645"/>
      <c r="AE144" s="647"/>
      <c r="AF144" s="644"/>
      <c r="AG144" s="645"/>
      <c r="AH144" s="645"/>
      <c r="AI144" s="645"/>
      <c r="AJ144" s="647"/>
      <c r="AK144" s="644"/>
      <c r="AL144" s="645"/>
      <c r="AM144" s="645"/>
      <c r="AN144" s="645"/>
      <c r="AO144" s="647"/>
      <c r="AP144" s="644"/>
      <c r="AQ144" s="645"/>
      <c r="AR144" s="645"/>
      <c r="AS144" s="645"/>
      <c r="AT144" s="647"/>
      <c r="AU144" s="644"/>
      <c r="AV144" s="645"/>
      <c r="AW144" s="645"/>
      <c r="AX144" s="645"/>
      <c r="AY144" s="647"/>
      <c r="AZ144" s="644"/>
      <c r="BA144" s="645"/>
      <c r="BB144" s="645"/>
      <c r="BC144" s="645"/>
      <c r="BD144" s="647"/>
      <c r="BE144" s="644"/>
      <c r="BF144" s="645"/>
      <c r="BG144" s="645"/>
      <c r="BH144" s="645"/>
      <c r="BI144" s="647"/>
      <c r="BJ144" s="644"/>
      <c r="BK144" s="645"/>
      <c r="BL144" s="645"/>
      <c r="BM144" s="645"/>
      <c r="BN144" s="418"/>
      <c r="BO144" s="419"/>
      <c r="BP144" s="418"/>
      <c r="BQ144" s="418"/>
      <c r="BR144" s="418"/>
      <c r="BS144" s="418"/>
      <c r="BT144" s="419"/>
    </row>
    <row r="145" spans="1:72" s="28" customFormat="1" ht="13">
      <c r="A145" s="676">
        <f t="shared" si="265"/>
        <v>139</v>
      </c>
      <c r="B145" s="27" t="s">
        <v>244</v>
      </c>
      <c r="E145" s="237">
        <f t="shared" ref="E145:AJ145" si="272">E131+E138</f>
        <v>0</v>
      </c>
      <c r="F145" s="237">
        <f t="shared" si="272"/>
        <v>0</v>
      </c>
      <c r="G145" s="237">
        <f t="shared" si="272"/>
        <v>0</v>
      </c>
      <c r="H145" s="40">
        <f t="shared" si="272"/>
        <v>0</v>
      </c>
      <c r="I145" s="40">
        <f t="shared" si="272"/>
        <v>0</v>
      </c>
      <c r="J145" s="40">
        <f t="shared" si="272"/>
        <v>0</v>
      </c>
      <c r="K145" s="40">
        <f t="shared" si="272"/>
        <v>0</v>
      </c>
      <c r="L145" s="237">
        <f t="shared" si="272"/>
        <v>0</v>
      </c>
      <c r="M145" s="40">
        <f t="shared" si="272"/>
        <v>0</v>
      </c>
      <c r="N145" s="40">
        <f t="shared" si="272"/>
        <v>0</v>
      </c>
      <c r="O145" s="40">
        <f t="shared" si="272"/>
        <v>0</v>
      </c>
      <c r="P145" s="40">
        <f t="shared" si="272"/>
        <v>0</v>
      </c>
      <c r="Q145" s="237">
        <f t="shared" si="272"/>
        <v>0</v>
      </c>
      <c r="R145" s="40">
        <f t="shared" si="272"/>
        <v>0</v>
      </c>
      <c r="S145" s="40">
        <f t="shared" si="272"/>
        <v>0</v>
      </c>
      <c r="T145" s="40">
        <f t="shared" si="272"/>
        <v>0</v>
      </c>
      <c r="U145" s="40">
        <f t="shared" si="272"/>
        <v>0</v>
      </c>
      <c r="V145" s="237">
        <f t="shared" si="272"/>
        <v>0</v>
      </c>
      <c r="W145" s="40">
        <f t="shared" si="272"/>
        <v>0</v>
      </c>
      <c r="X145" s="40">
        <f t="shared" ref="X145:AD145" si="273">X131+X138</f>
        <v>0</v>
      </c>
      <c r="Y145" s="40">
        <f t="shared" si="273"/>
        <v>0</v>
      </c>
      <c r="Z145" s="40">
        <f t="shared" si="273"/>
        <v>0</v>
      </c>
      <c r="AA145" s="237">
        <f t="shared" si="273"/>
        <v>0</v>
      </c>
      <c r="AB145" s="40">
        <f t="shared" si="273"/>
        <v>0</v>
      </c>
      <c r="AC145" s="40">
        <f t="shared" si="273"/>
        <v>0</v>
      </c>
      <c r="AD145" s="40">
        <f t="shared" si="273"/>
        <v>0</v>
      </c>
      <c r="AE145" s="40">
        <f>AE131+AE138</f>
        <v>0</v>
      </c>
      <c r="AF145" s="237">
        <f t="shared" si="272"/>
        <v>0</v>
      </c>
      <c r="AG145" s="40">
        <f t="shared" si="272"/>
        <v>0</v>
      </c>
      <c r="AH145" s="40">
        <f t="shared" si="272"/>
        <v>0</v>
      </c>
      <c r="AI145" s="40">
        <f t="shared" si="272"/>
        <v>0</v>
      </c>
      <c r="AJ145" s="40">
        <f t="shared" si="272"/>
        <v>0</v>
      </c>
      <c r="AK145" s="237">
        <f t="shared" ref="AK145:AP145" si="274">AK131+AK138</f>
        <v>0</v>
      </c>
      <c r="AL145" s="40">
        <f t="shared" si="274"/>
        <v>0</v>
      </c>
      <c r="AM145" s="40">
        <f t="shared" si="274"/>
        <v>0</v>
      </c>
      <c r="AN145" s="40">
        <f t="shared" si="274"/>
        <v>0</v>
      </c>
      <c r="AO145" s="40">
        <f t="shared" si="274"/>
        <v>0</v>
      </c>
      <c r="AP145" s="237">
        <f t="shared" si="274"/>
        <v>0</v>
      </c>
      <c r="AQ145" s="40">
        <f>AQ131+AQ138</f>
        <v>0</v>
      </c>
      <c r="AR145" s="40">
        <f>AR131+AR138</f>
        <v>0</v>
      </c>
      <c r="AS145" s="40">
        <f>AS131+AS138</f>
        <v>0</v>
      </c>
      <c r="AT145" s="40">
        <f>AT131+AT138</f>
        <v>0</v>
      </c>
      <c r="AU145" s="237">
        <f>AU131+AU138</f>
        <v>0</v>
      </c>
      <c r="AV145" s="40">
        <f t="shared" ref="AV145:BA145" si="275">AV131+AV138</f>
        <v>0</v>
      </c>
      <c r="AW145" s="40">
        <f t="shared" si="275"/>
        <v>0</v>
      </c>
      <c r="AX145" s="40">
        <f t="shared" si="275"/>
        <v>0</v>
      </c>
      <c r="AY145" s="40">
        <f t="shared" si="275"/>
        <v>0</v>
      </c>
      <c r="AZ145" s="237">
        <f t="shared" si="275"/>
        <v>0</v>
      </c>
      <c r="BA145" s="40">
        <f t="shared" si="275"/>
        <v>0</v>
      </c>
      <c r="BB145" s="40">
        <f t="shared" ref="BB145:BG145" si="276">BB131+BB138</f>
        <v>0</v>
      </c>
      <c r="BC145" s="40">
        <f t="shared" si="276"/>
        <v>0</v>
      </c>
      <c r="BD145" s="40">
        <f t="shared" si="276"/>
        <v>0</v>
      </c>
      <c r="BE145" s="237">
        <f t="shared" si="276"/>
        <v>0</v>
      </c>
      <c r="BF145" s="40">
        <f t="shared" si="276"/>
        <v>0</v>
      </c>
      <c r="BG145" s="40">
        <f t="shared" si="276"/>
        <v>0</v>
      </c>
      <c r="BH145" s="40">
        <f t="shared" ref="BH145:BT145" si="277">BH131+BH138</f>
        <v>0</v>
      </c>
      <c r="BI145" s="40">
        <f t="shared" si="277"/>
        <v>0</v>
      </c>
      <c r="BJ145" s="237">
        <f t="shared" si="277"/>
        <v>0</v>
      </c>
      <c r="BK145" s="40">
        <f t="shared" si="277"/>
        <v>0</v>
      </c>
      <c r="BL145" s="40">
        <f t="shared" si="277"/>
        <v>0</v>
      </c>
      <c r="BM145" s="40">
        <f>BM131+BM138</f>
        <v>0</v>
      </c>
      <c r="BN145" s="368">
        <f t="shared" si="277"/>
        <v>0</v>
      </c>
      <c r="BO145" s="369">
        <f t="shared" si="277"/>
        <v>0</v>
      </c>
      <c r="BP145" s="368">
        <f t="shared" si="277"/>
        <v>0</v>
      </c>
      <c r="BQ145" s="368">
        <f t="shared" si="277"/>
        <v>0</v>
      </c>
      <c r="BR145" s="368">
        <f t="shared" si="277"/>
        <v>0</v>
      </c>
      <c r="BS145" s="368">
        <f t="shared" si="277"/>
        <v>0</v>
      </c>
      <c r="BT145" s="369">
        <f t="shared" si="277"/>
        <v>0</v>
      </c>
    </row>
    <row r="146" spans="1:72" s="182" customFormat="1" ht="13">
      <c r="A146" s="676">
        <f t="shared" si="265"/>
        <v>140</v>
      </c>
      <c r="E146" s="237"/>
      <c r="F146" s="237"/>
      <c r="G146" s="237"/>
      <c r="H146" s="40"/>
      <c r="I146" s="40"/>
      <c r="J146" s="40"/>
      <c r="K146" s="40"/>
      <c r="L146" s="237"/>
      <c r="M146" s="40"/>
      <c r="N146" s="40"/>
      <c r="O146" s="40"/>
      <c r="P146" s="40"/>
      <c r="Q146" s="237"/>
      <c r="R146" s="40"/>
      <c r="S146" s="40"/>
      <c r="T146" s="40"/>
      <c r="U146" s="40"/>
      <c r="V146" s="237"/>
      <c r="W146" s="40"/>
      <c r="X146" s="40"/>
      <c r="Y146" s="40"/>
      <c r="Z146" s="40"/>
      <c r="AA146" s="237"/>
      <c r="AB146" s="40"/>
      <c r="AC146" s="40"/>
      <c r="AD146" s="40"/>
      <c r="AE146" s="40"/>
      <c r="AF146" s="237"/>
      <c r="AG146" s="40"/>
      <c r="AH146" s="40"/>
      <c r="AI146" s="40"/>
      <c r="AJ146" s="40"/>
      <c r="AK146" s="237"/>
      <c r="AL146" s="40"/>
      <c r="AM146" s="40"/>
      <c r="AN146" s="40"/>
      <c r="AO146" s="40"/>
      <c r="AP146" s="237"/>
      <c r="AQ146" s="40"/>
      <c r="AR146" s="40"/>
      <c r="AS146" s="40"/>
      <c r="AT146" s="40"/>
      <c r="AU146" s="237"/>
      <c r="AV146" s="40"/>
      <c r="AW146" s="40"/>
      <c r="AX146" s="40"/>
      <c r="AY146" s="40"/>
      <c r="AZ146" s="237"/>
      <c r="BA146" s="40"/>
      <c r="BB146" s="40"/>
      <c r="BC146" s="40"/>
      <c r="BD146" s="40"/>
      <c r="BE146" s="237"/>
      <c r="BF146" s="40"/>
      <c r="BG146" s="40"/>
      <c r="BH146" s="40"/>
      <c r="BI146" s="40"/>
      <c r="BJ146" s="237"/>
      <c r="BK146" s="40"/>
      <c r="BL146" s="40"/>
      <c r="BM146" s="40"/>
      <c r="BN146" s="368"/>
      <c r="BO146" s="369"/>
      <c r="BP146" s="368"/>
      <c r="BQ146" s="368"/>
      <c r="BR146" s="368"/>
      <c r="BS146" s="368"/>
      <c r="BT146" s="369"/>
    </row>
    <row r="147" spans="1:72" s="28" customFormat="1" ht="13">
      <c r="A147" s="676">
        <f t="shared" si="265"/>
        <v>141</v>
      </c>
      <c r="B147" s="230" t="s">
        <v>245</v>
      </c>
      <c r="E147" s="237">
        <f t="shared" ref="E147:AJ147" si="278">E128+E145</f>
        <v>0</v>
      </c>
      <c r="F147" s="237">
        <f t="shared" si="278"/>
        <v>0</v>
      </c>
      <c r="G147" s="237">
        <f t="shared" si="278"/>
        <v>0</v>
      </c>
      <c r="H147" s="40">
        <f t="shared" si="278"/>
        <v>0</v>
      </c>
      <c r="I147" s="40">
        <f t="shared" si="278"/>
        <v>0</v>
      </c>
      <c r="J147" s="40">
        <f t="shared" si="278"/>
        <v>0</v>
      </c>
      <c r="K147" s="40">
        <f t="shared" si="278"/>
        <v>0</v>
      </c>
      <c r="L147" s="237">
        <f t="shared" si="278"/>
        <v>0</v>
      </c>
      <c r="M147" s="40">
        <f t="shared" si="278"/>
        <v>0</v>
      </c>
      <c r="N147" s="40">
        <f t="shared" si="278"/>
        <v>0</v>
      </c>
      <c r="O147" s="40">
        <f t="shared" si="278"/>
        <v>0</v>
      </c>
      <c r="P147" s="40">
        <f t="shared" si="278"/>
        <v>0</v>
      </c>
      <c r="Q147" s="237">
        <f t="shared" si="278"/>
        <v>0</v>
      </c>
      <c r="R147" s="40">
        <f t="shared" si="278"/>
        <v>0</v>
      </c>
      <c r="S147" s="40">
        <f t="shared" si="278"/>
        <v>0</v>
      </c>
      <c r="T147" s="40">
        <f t="shared" si="278"/>
        <v>0</v>
      </c>
      <c r="U147" s="40">
        <f t="shared" si="278"/>
        <v>0</v>
      </c>
      <c r="V147" s="237">
        <f t="shared" si="278"/>
        <v>0</v>
      </c>
      <c r="W147" s="40">
        <f t="shared" si="278"/>
        <v>0</v>
      </c>
      <c r="X147" s="40">
        <f t="shared" ref="X147:AD147" si="279">X128+X145</f>
        <v>0</v>
      </c>
      <c r="Y147" s="40">
        <f t="shared" si="279"/>
        <v>0</v>
      </c>
      <c r="Z147" s="40">
        <f t="shared" si="279"/>
        <v>0</v>
      </c>
      <c r="AA147" s="237">
        <f t="shared" si="279"/>
        <v>0</v>
      </c>
      <c r="AB147" s="40">
        <f t="shared" si="279"/>
        <v>0</v>
      </c>
      <c r="AC147" s="40">
        <f t="shared" si="279"/>
        <v>0</v>
      </c>
      <c r="AD147" s="40">
        <f t="shared" si="279"/>
        <v>0</v>
      </c>
      <c r="AE147" s="40">
        <f>AE128+AE145</f>
        <v>0</v>
      </c>
      <c r="AF147" s="237">
        <f t="shared" si="278"/>
        <v>0</v>
      </c>
      <c r="AG147" s="40">
        <f t="shared" si="278"/>
        <v>0</v>
      </c>
      <c r="AH147" s="40">
        <f t="shared" si="278"/>
        <v>0</v>
      </c>
      <c r="AI147" s="40">
        <f t="shared" si="278"/>
        <v>0</v>
      </c>
      <c r="AJ147" s="40">
        <f t="shared" si="278"/>
        <v>0</v>
      </c>
      <c r="AK147" s="237">
        <f t="shared" ref="AK147:AP147" si="280">AK128+AK145</f>
        <v>0</v>
      </c>
      <c r="AL147" s="40">
        <f t="shared" si="280"/>
        <v>0</v>
      </c>
      <c r="AM147" s="40">
        <f t="shared" si="280"/>
        <v>0</v>
      </c>
      <c r="AN147" s="40">
        <f t="shared" si="280"/>
        <v>0</v>
      </c>
      <c r="AO147" s="40">
        <f t="shared" si="280"/>
        <v>0</v>
      </c>
      <c r="AP147" s="237">
        <f t="shared" si="280"/>
        <v>0</v>
      </c>
      <c r="AQ147" s="40">
        <f>AQ128+AQ145</f>
        <v>0</v>
      </c>
      <c r="AR147" s="40">
        <f>AR128+AR145</f>
        <v>0</v>
      </c>
      <c r="AS147" s="40">
        <f>AS128+AS145</f>
        <v>0</v>
      </c>
      <c r="AT147" s="40">
        <f>AT128+AT145</f>
        <v>0</v>
      </c>
      <c r="AU147" s="237">
        <f>AU128+AU145</f>
        <v>0</v>
      </c>
      <c r="AV147" s="40">
        <f t="shared" ref="AV147:BA147" si="281">AV128+AV145</f>
        <v>0</v>
      </c>
      <c r="AW147" s="40">
        <f t="shared" si="281"/>
        <v>0</v>
      </c>
      <c r="AX147" s="40">
        <f t="shared" si="281"/>
        <v>0</v>
      </c>
      <c r="AY147" s="40">
        <f t="shared" si="281"/>
        <v>0</v>
      </c>
      <c r="AZ147" s="237">
        <f t="shared" si="281"/>
        <v>0</v>
      </c>
      <c r="BA147" s="40">
        <f t="shared" si="281"/>
        <v>0</v>
      </c>
      <c r="BB147" s="40">
        <f t="shared" ref="BB147:BG147" si="282">BB128+BB145</f>
        <v>0</v>
      </c>
      <c r="BC147" s="40">
        <f t="shared" si="282"/>
        <v>0</v>
      </c>
      <c r="BD147" s="40">
        <f t="shared" si="282"/>
        <v>0</v>
      </c>
      <c r="BE147" s="237">
        <f t="shared" si="282"/>
        <v>0</v>
      </c>
      <c r="BF147" s="40">
        <f t="shared" si="282"/>
        <v>0</v>
      </c>
      <c r="BG147" s="40">
        <f t="shared" si="282"/>
        <v>0</v>
      </c>
      <c r="BH147" s="40">
        <f t="shared" ref="BH147:BT147" si="283">BH128+BH145</f>
        <v>0</v>
      </c>
      <c r="BI147" s="40">
        <f t="shared" si="283"/>
        <v>0</v>
      </c>
      <c r="BJ147" s="237">
        <f t="shared" si="283"/>
        <v>0</v>
      </c>
      <c r="BK147" s="40">
        <f t="shared" si="283"/>
        <v>0</v>
      </c>
      <c r="BL147" s="40">
        <f t="shared" si="283"/>
        <v>0</v>
      </c>
      <c r="BM147" s="40">
        <f>BM128+BM145</f>
        <v>0</v>
      </c>
      <c r="BN147" s="368" t="e">
        <f t="shared" si="283"/>
        <v>#DIV/0!</v>
      </c>
      <c r="BO147" s="369" t="e">
        <f t="shared" si="283"/>
        <v>#DIV/0!</v>
      </c>
      <c r="BP147" s="368" t="e">
        <f t="shared" si="283"/>
        <v>#DIV/0!</v>
      </c>
      <c r="BQ147" s="368" t="e">
        <f t="shared" si="283"/>
        <v>#DIV/0!</v>
      </c>
      <c r="BR147" s="368" t="e">
        <f t="shared" si="283"/>
        <v>#DIV/0!</v>
      </c>
      <c r="BS147" s="368" t="e">
        <f t="shared" si="283"/>
        <v>#DIV/0!</v>
      </c>
      <c r="BT147" s="369" t="e">
        <f t="shared" si="283"/>
        <v>#DIV/0!</v>
      </c>
    </row>
    <row r="148" spans="1:72" s="182" customFormat="1" ht="13">
      <c r="A148" s="676">
        <f t="shared" si="265"/>
        <v>142</v>
      </c>
      <c r="B148" s="207"/>
      <c r="E148" s="171"/>
      <c r="F148" s="171"/>
      <c r="G148" s="171"/>
      <c r="H148" s="40"/>
      <c r="I148" s="40"/>
      <c r="J148" s="40"/>
      <c r="K148" s="40"/>
      <c r="L148" s="171"/>
      <c r="M148" s="40"/>
      <c r="N148" s="40"/>
      <c r="O148" s="40"/>
      <c r="P148" s="40"/>
      <c r="Q148" s="171"/>
      <c r="R148" s="40"/>
      <c r="S148" s="40"/>
      <c r="T148" s="40"/>
      <c r="U148" s="40"/>
      <c r="V148" s="171"/>
      <c r="W148" s="40"/>
      <c r="X148" s="40"/>
      <c r="Y148" s="40"/>
      <c r="Z148" s="40"/>
      <c r="AA148" s="171"/>
      <c r="AB148" s="40"/>
      <c r="AC148" s="40"/>
      <c r="AD148" s="40"/>
      <c r="AE148" s="40"/>
      <c r="AF148" s="171"/>
      <c r="AG148" s="40"/>
      <c r="AH148" s="40"/>
      <c r="AI148" s="40"/>
      <c r="AJ148" s="40"/>
      <c r="AK148" s="171"/>
      <c r="AL148" s="40"/>
      <c r="AM148" s="40"/>
      <c r="AN148" s="40"/>
      <c r="AO148" s="40"/>
      <c r="AP148" s="171"/>
      <c r="AQ148" s="40"/>
      <c r="AR148" s="40"/>
      <c r="AS148" s="40"/>
      <c r="AT148" s="40"/>
      <c r="AU148" s="171"/>
      <c r="AV148" s="40"/>
      <c r="AW148" s="40"/>
      <c r="AX148" s="40"/>
      <c r="AY148" s="40"/>
      <c r="AZ148" s="171"/>
      <c r="BA148" s="40"/>
      <c r="BB148" s="40"/>
      <c r="BC148" s="40"/>
      <c r="BD148" s="40"/>
      <c r="BE148" s="171"/>
      <c r="BF148" s="40"/>
      <c r="BG148" s="40"/>
      <c r="BH148" s="40"/>
      <c r="BI148" s="40"/>
      <c r="BJ148" s="171"/>
      <c r="BK148" s="40"/>
      <c r="BL148" s="40"/>
      <c r="BM148" s="40"/>
      <c r="BN148" s="368"/>
      <c r="BO148" s="375"/>
      <c r="BP148" s="368"/>
      <c r="BQ148" s="368"/>
      <c r="BR148" s="368"/>
      <c r="BS148" s="368"/>
      <c r="BT148" s="375"/>
    </row>
    <row r="149" spans="1:72" s="182" customFormat="1" ht="13">
      <c r="A149" s="676">
        <f t="shared" si="265"/>
        <v>143</v>
      </c>
      <c r="B149" s="193" t="s">
        <v>246</v>
      </c>
      <c r="E149" s="171"/>
      <c r="F149" s="171"/>
      <c r="G149" s="171"/>
      <c r="H149" s="40"/>
      <c r="I149" s="40"/>
      <c r="J149" s="40"/>
      <c r="K149" s="40"/>
      <c r="L149" s="171"/>
      <c r="M149" s="40"/>
      <c r="N149" s="40"/>
      <c r="O149" s="40"/>
      <c r="P149" s="40"/>
      <c r="Q149" s="171"/>
      <c r="R149" s="40"/>
      <c r="S149" s="40"/>
      <c r="T149" s="40"/>
      <c r="U149" s="40"/>
      <c r="V149" s="171"/>
      <c r="W149" s="40"/>
      <c r="X149" s="40"/>
      <c r="Y149" s="40"/>
      <c r="Z149" s="40"/>
      <c r="AA149" s="171"/>
      <c r="AB149" s="40"/>
      <c r="AC149" s="40"/>
      <c r="AD149" s="40"/>
      <c r="AE149" s="40"/>
      <c r="AF149" s="171"/>
      <c r="AG149" s="40"/>
      <c r="AH149" s="40"/>
      <c r="AI149" s="40"/>
      <c r="AJ149" s="40"/>
      <c r="AK149" s="171"/>
      <c r="AL149" s="40"/>
      <c r="AM149" s="40"/>
      <c r="AN149" s="40"/>
      <c r="AO149" s="40"/>
      <c r="AP149" s="171"/>
      <c r="AQ149" s="40"/>
      <c r="AR149" s="40"/>
      <c r="AS149" s="40"/>
      <c r="AT149" s="40"/>
      <c r="AU149" s="171"/>
      <c r="AV149" s="40"/>
      <c r="AW149" s="40"/>
      <c r="AX149" s="40"/>
      <c r="AY149" s="40"/>
      <c r="AZ149" s="171"/>
      <c r="BA149" s="40"/>
      <c r="BB149" s="40"/>
      <c r="BC149" s="40"/>
      <c r="BD149" s="40"/>
      <c r="BE149" s="171"/>
      <c r="BF149" s="40"/>
      <c r="BG149" s="40"/>
      <c r="BH149" s="40"/>
      <c r="BI149" s="40"/>
      <c r="BJ149" s="171"/>
      <c r="BK149" s="40"/>
      <c r="BL149" s="40"/>
      <c r="BM149" s="40"/>
      <c r="BN149" s="368"/>
      <c r="BO149" s="375"/>
      <c r="BP149" s="368"/>
      <c r="BQ149" s="368"/>
      <c r="BR149" s="368"/>
      <c r="BS149" s="368"/>
      <c r="BT149" s="375"/>
    </row>
    <row r="150" spans="1:72" s="182" customFormat="1" ht="13">
      <c r="A150" s="676">
        <f t="shared" si="265"/>
        <v>144</v>
      </c>
      <c r="B150" s="220" t="s">
        <v>247</v>
      </c>
      <c r="C150" s="33"/>
      <c r="D150" s="33"/>
      <c r="E150" s="340"/>
      <c r="F150" s="340"/>
      <c r="G150" s="340"/>
      <c r="H150" s="37"/>
      <c r="I150" s="37"/>
      <c r="J150" s="37"/>
      <c r="K150" s="269"/>
      <c r="L150" s="340"/>
      <c r="M150" s="37"/>
      <c r="N150" s="37"/>
      <c r="O150" s="37"/>
      <c r="P150" s="269"/>
      <c r="Q150" s="340"/>
      <c r="R150" s="37"/>
      <c r="S150" s="37"/>
      <c r="T150" s="37"/>
      <c r="U150" s="37"/>
      <c r="V150" s="145"/>
      <c r="W150" s="37"/>
      <c r="X150" s="37"/>
      <c r="Y150" s="37"/>
      <c r="Z150" s="37"/>
      <c r="AA150" s="145"/>
      <c r="AB150" s="37"/>
      <c r="AC150" s="37"/>
      <c r="AD150" s="37"/>
      <c r="AE150" s="37"/>
      <c r="AF150" s="145">
        <f>SUM(AB150:AE150)</f>
        <v>0</v>
      </c>
      <c r="AG150" s="37"/>
      <c r="AH150" s="37"/>
      <c r="AI150" s="37"/>
      <c r="AJ150" s="37"/>
      <c r="AK150" s="145">
        <f>SUM(AG150:AJ150)</f>
        <v>0</v>
      </c>
      <c r="AL150" s="37"/>
      <c r="AM150" s="37"/>
      <c r="AN150" s="37"/>
      <c r="AO150" s="37"/>
      <c r="AP150" s="145">
        <f>SUM(AL150:AO150)</f>
        <v>0</v>
      </c>
      <c r="AQ150" s="37"/>
      <c r="AR150" s="37"/>
      <c r="AS150" s="37"/>
      <c r="AT150" s="37"/>
      <c r="AU150" s="145">
        <f>SUM(AQ150:AT150)</f>
        <v>0</v>
      </c>
      <c r="AV150" s="37"/>
      <c r="AW150" s="37"/>
      <c r="AX150" s="37"/>
      <c r="AY150" s="37"/>
      <c r="AZ150" s="145">
        <f>SUM(AV150:AY150)</f>
        <v>0</v>
      </c>
      <c r="BA150" s="37"/>
      <c r="BB150" s="37"/>
      <c r="BC150" s="37"/>
      <c r="BD150" s="37"/>
      <c r="BE150" s="145">
        <f>SUM(BA150:BD150)</f>
        <v>0</v>
      </c>
      <c r="BF150" s="37"/>
      <c r="BG150" s="37"/>
      <c r="BH150" s="37"/>
      <c r="BI150" s="37"/>
      <c r="BJ150" s="145">
        <f>SUM(BF150:BI150)</f>
        <v>0</v>
      </c>
      <c r="BK150" s="37"/>
      <c r="BL150" s="37"/>
      <c r="BM150" s="37"/>
      <c r="BN150" s="416" t="e">
        <f>-(BN258*BN59)</f>
        <v>#DIV/0!</v>
      </c>
      <c r="BO150" s="417" t="e">
        <f>SUM(BK150:BN150)</f>
        <v>#DIV/0!</v>
      </c>
      <c r="BP150" s="416" t="e">
        <f>-(BP258*BP59)</f>
        <v>#DIV/0!</v>
      </c>
      <c r="BQ150" s="416" t="e">
        <f>-(BQ258*BQ59)</f>
        <v>#DIV/0!</v>
      </c>
      <c r="BR150" s="416" t="e">
        <f>-(BR258*BR59)</f>
        <v>#DIV/0!</v>
      </c>
      <c r="BS150" s="416" t="e">
        <f>-(BS258*BS59)</f>
        <v>#DIV/0!</v>
      </c>
      <c r="BT150" s="417" t="e">
        <f>SUM(BP150:BS150)</f>
        <v>#DIV/0!</v>
      </c>
    </row>
    <row r="151" spans="1:72" s="182" customFormat="1" ht="13">
      <c r="A151" s="676">
        <f t="shared" si="265"/>
        <v>145</v>
      </c>
      <c r="B151" s="222" t="s">
        <v>248</v>
      </c>
      <c r="C151" s="33"/>
      <c r="D151" s="33"/>
      <c r="E151" s="340"/>
      <c r="F151" s="340"/>
      <c r="G151" s="340"/>
      <c r="H151" s="37"/>
      <c r="I151" s="37"/>
      <c r="J151" s="37"/>
      <c r="K151" s="269"/>
      <c r="L151" s="340"/>
      <c r="M151" s="37"/>
      <c r="N151" s="37"/>
      <c r="O151" s="37"/>
      <c r="P151" s="269"/>
      <c r="Q151" s="340"/>
      <c r="R151" s="37"/>
      <c r="S151" s="37"/>
      <c r="T151" s="37"/>
      <c r="U151" s="37"/>
      <c r="V151" s="145"/>
      <c r="W151" s="37"/>
      <c r="X151" s="37"/>
      <c r="Y151" s="37"/>
      <c r="Z151" s="37"/>
      <c r="AA151" s="145"/>
      <c r="AB151" s="37"/>
      <c r="AC151" s="37"/>
      <c r="AD151" s="37"/>
      <c r="AE151" s="37"/>
      <c r="AF151" s="145">
        <f>SUM(AB151:AE151)</f>
        <v>0</v>
      </c>
      <c r="AG151" s="37"/>
      <c r="AH151" s="37"/>
      <c r="AI151" s="37"/>
      <c r="AJ151" s="37"/>
      <c r="AK151" s="145">
        <f>SUM(AG151:AJ151)</f>
        <v>0</v>
      </c>
      <c r="AL151" s="37"/>
      <c r="AM151" s="37"/>
      <c r="AN151" s="37"/>
      <c r="AO151" s="37"/>
      <c r="AP151" s="145">
        <f>SUM(AL151:AO151)</f>
        <v>0</v>
      </c>
      <c r="AQ151" s="37"/>
      <c r="AR151" s="37"/>
      <c r="AS151" s="37"/>
      <c r="AT151" s="37"/>
      <c r="AU151" s="145">
        <f>SUM(AQ151:AT151)</f>
        <v>0</v>
      </c>
      <c r="AV151" s="37"/>
      <c r="AW151" s="37"/>
      <c r="AX151" s="37"/>
      <c r="AY151" s="37"/>
      <c r="AZ151" s="145">
        <f>SUM(AV151:AY151)</f>
        <v>0</v>
      </c>
      <c r="BA151" s="37"/>
      <c r="BB151" s="37"/>
      <c r="BC151" s="37"/>
      <c r="BD151" s="37"/>
      <c r="BE151" s="145">
        <f>SUM(BA151:BD151)</f>
        <v>0</v>
      </c>
      <c r="BF151" s="37"/>
      <c r="BG151" s="37"/>
      <c r="BH151" s="37"/>
      <c r="BI151" s="37"/>
      <c r="BJ151" s="145">
        <f>SUM(BF151:BI151)</f>
        <v>0</v>
      </c>
      <c r="BK151" s="37"/>
      <c r="BL151" s="37"/>
      <c r="BM151" s="37"/>
      <c r="BN151" s="416">
        <v>0</v>
      </c>
      <c r="BO151" s="417">
        <f>SUM(BK151:BN151)</f>
        <v>0</v>
      </c>
      <c r="BP151" s="416">
        <v>0</v>
      </c>
      <c r="BQ151" s="416">
        <v>0</v>
      </c>
      <c r="BR151" s="416">
        <v>0</v>
      </c>
      <c r="BS151" s="416">
        <v>0</v>
      </c>
      <c r="BT151" s="417">
        <f>SUM(BP151:BS151)</f>
        <v>0</v>
      </c>
    </row>
    <row r="152" spans="1:72" s="182" customFormat="1" ht="13">
      <c r="A152" s="676">
        <f t="shared" si="265"/>
        <v>146</v>
      </c>
      <c r="B152" s="220" t="s">
        <v>249</v>
      </c>
      <c r="C152" s="33"/>
      <c r="D152" s="33"/>
      <c r="E152" s="340"/>
      <c r="F152" s="340"/>
      <c r="G152" s="340"/>
      <c r="H152" s="37"/>
      <c r="I152" s="37"/>
      <c r="J152" s="37"/>
      <c r="K152" s="269"/>
      <c r="L152" s="340"/>
      <c r="M152" s="37"/>
      <c r="N152" s="37"/>
      <c r="O152" s="37"/>
      <c r="P152" s="269"/>
      <c r="Q152" s="340"/>
      <c r="R152" s="37"/>
      <c r="S152" s="37"/>
      <c r="T152" s="37"/>
      <c r="U152" s="37"/>
      <c r="V152" s="145"/>
      <c r="W152" s="37"/>
      <c r="X152" s="37"/>
      <c r="Y152" s="37"/>
      <c r="Z152" s="37"/>
      <c r="AA152" s="145"/>
      <c r="AB152" s="37"/>
      <c r="AC152" s="37"/>
      <c r="AD152" s="37"/>
      <c r="AE152" s="37"/>
      <c r="AF152" s="145">
        <f>SUM(AB152:AE152)</f>
        <v>0</v>
      </c>
      <c r="AG152" s="37"/>
      <c r="AH152" s="37"/>
      <c r="AI152" s="37"/>
      <c r="AJ152" s="37"/>
      <c r="AK152" s="145">
        <f>SUM(AG152:AJ152)</f>
        <v>0</v>
      </c>
      <c r="AL152" s="37"/>
      <c r="AM152" s="37"/>
      <c r="AN152" s="37"/>
      <c r="AO152" s="37"/>
      <c r="AP152" s="145">
        <f>SUM(AL152:AO152)</f>
        <v>0</v>
      </c>
      <c r="AQ152" s="37"/>
      <c r="AR152" s="37"/>
      <c r="AS152" s="37"/>
      <c r="AT152" s="37"/>
      <c r="AU152" s="145">
        <f>SUM(AQ152:AT152)</f>
        <v>0</v>
      </c>
      <c r="AV152" s="37"/>
      <c r="AW152" s="37"/>
      <c r="AX152" s="37"/>
      <c r="AY152" s="37"/>
      <c r="AZ152" s="145">
        <f>SUM(AV152:AY152)</f>
        <v>0</v>
      </c>
      <c r="BA152" s="37"/>
      <c r="BB152" s="37"/>
      <c r="BC152" s="37"/>
      <c r="BD152" s="37"/>
      <c r="BE152" s="145">
        <f>SUM(BA152:BD152)</f>
        <v>0</v>
      </c>
      <c r="BF152" s="37"/>
      <c r="BG152" s="37"/>
      <c r="BH152" s="37"/>
      <c r="BI152" s="37"/>
      <c r="BJ152" s="145">
        <f>SUM(BF152:BI152)</f>
        <v>0</v>
      </c>
      <c r="BK152" s="37"/>
      <c r="BL152" s="37"/>
      <c r="BM152" s="37"/>
      <c r="BN152" s="416">
        <v>0</v>
      </c>
      <c r="BO152" s="417">
        <f>SUM(BK152:BN152)</f>
        <v>0</v>
      </c>
      <c r="BP152" s="416">
        <v>0</v>
      </c>
      <c r="BQ152" s="416">
        <v>0</v>
      </c>
      <c r="BR152" s="416">
        <v>0</v>
      </c>
      <c r="BS152" s="416">
        <v>0</v>
      </c>
      <c r="BT152" s="417">
        <f>SUM(BP152:BS152)</f>
        <v>0</v>
      </c>
    </row>
    <row r="153" spans="1:72" s="182" customFormat="1" ht="13">
      <c r="A153" s="676">
        <f t="shared" si="265"/>
        <v>147</v>
      </c>
      <c r="B153" s="220" t="s">
        <v>250</v>
      </c>
      <c r="C153" s="33"/>
      <c r="D153" s="33"/>
      <c r="E153" s="649"/>
      <c r="F153" s="649"/>
      <c r="G153" s="649"/>
      <c r="H153" s="39"/>
      <c r="I153" s="39"/>
      <c r="J153" s="39"/>
      <c r="K153" s="650"/>
      <c r="L153" s="649"/>
      <c r="M153" s="39"/>
      <c r="N153" s="39"/>
      <c r="O153" s="39"/>
      <c r="P153" s="650"/>
      <c r="Q153" s="649"/>
      <c r="R153" s="39"/>
      <c r="S153" s="39"/>
      <c r="T153" s="39"/>
      <c r="U153" s="39"/>
      <c r="V153" s="172"/>
      <c r="W153" s="39"/>
      <c r="X153" s="39"/>
      <c r="Y153" s="39"/>
      <c r="Z153" s="39"/>
      <c r="AA153" s="172"/>
      <c r="AB153" s="39"/>
      <c r="AC153" s="39"/>
      <c r="AD153" s="39"/>
      <c r="AE153" s="39"/>
      <c r="AF153" s="172"/>
      <c r="AG153" s="39"/>
      <c r="AH153" s="39"/>
      <c r="AI153" s="39"/>
      <c r="AJ153" s="39"/>
      <c r="AK153" s="172"/>
      <c r="AL153" s="39"/>
      <c r="AM153" s="39"/>
      <c r="AN153" s="39"/>
      <c r="AO153" s="39"/>
      <c r="AP153" s="172"/>
      <c r="AQ153" s="39"/>
      <c r="AR153" s="39"/>
      <c r="AS153" s="39"/>
      <c r="AT153" s="39"/>
      <c r="AU153" s="172"/>
      <c r="AV153" s="39"/>
      <c r="AW153" s="39"/>
      <c r="AX153" s="39"/>
      <c r="AY153" s="39"/>
      <c r="AZ153" s="172"/>
      <c r="BA153" s="39"/>
      <c r="BB153" s="39"/>
      <c r="BC153" s="39"/>
      <c r="BD153" s="39"/>
      <c r="BE153" s="172"/>
      <c r="BF153" s="39"/>
      <c r="BG153" s="39"/>
      <c r="BH153" s="39"/>
      <c r="BI153" s="39"/>
      <c r="BJ153" s="172"/>
      <c r="BK153" s="39"/>
      <c r="BL153" s="39"/>
      <c r="BM153" s="39"/>
      <c r="BN153" s="420"/>
      <c r="BO153" s="421"/>
      <c r="BP153" s="420"/>
      <c r="BQ153" s="420"/>
      <c r="BR153" s="420"/>
      <c r="BS153" s="420"/>
      <c r="BT153" s="421"/>
    </row>
    <row r="154" spans="1:72" s="28" customFormat="1" ht="13">
      <c r="A154" s="676">
        <f t="shared" si="265"/>
        <v>148</v>
      </c>
      <c r="B154" s="296" t="s">
        <v>251</v>
      </c>
      <c r="C154" s="339"/>
      <c r="D154" s="339"/>
      <c r="E154" s="340">
        <f>SUM(E150:E153)</f>
        <v>0</v>
      </c>
      <c r="F154" s="340">
        <f t="shared" ref="F154:AF154" si="284">SUM(F150:F153)</f>
        <v>0</v>
      </c>
      <c r="G154" s="340">
        <f t="shared" si="284"/>
        <v>0</v>
      </c>
      <c r="H154" s="37">
        <f t="shared" si="284"/>
        <v>0</v>
      </c>
      <c r="I154" s="37">
        <f t="shared" si="284"/>
        <v>0</v>
      </c>
      <c r="J154" s="37">
        <f t="shared" si="284"/>
        <v>0</v>
      </c>
      <c r="K154" s="269">
        <f t="shared" si="284"/>
        <v>0</v>
      </c>
      <c r="L154" s="340">
        <f t="shared" si="284"/>
        <v>0</v>
      </c>
      <c r="M154" s="37">
        <f t="shared" si="284"/>
        <v>0</v>
      </c>
      <c r="N154" s="37">
        <f t="shared" si="284"/>
        <v>0</v>
      </c>
      <c r="O154" s="37">
        <f t="shared" si="284"/>
        <v>0</v>
      </c>
      <c r="P154" s="269">
        <f t="shared" si="284"/>
        <v>0</v>
      </c>
      <c r="Q154" s="340">
        <f t="shared" si="284"/>
        <v>0</v>
      </c>
      <c r="R154" s="37">
        <f t="shared" si="284"/>
        <v>0</v>
      </c>
      <c r="S154" s="37">
        <f t="shared" si="284"/>
        <v>0</v>
      </c>
      <c r="T154" s="37">
        <f t="shared" si="284"/>
        <v>0</v>
      </c>
      <c r="U154" s="37">
        <f t="shared" si="284"/>
        <v>0</v>
      </c>
      <c r="V154" s="145">
        <f t="shared" si="284"/>
        <v>0</v>
      </c>
      <c r="W154" s="37">
        <f t="shared" si="284"/>
        <v>0</v>
      </c>
      <c r="X154" s="37">
        <f>SUM(X150:X153)</f>
        <v>0</v>
      </c>
      <c r="Y154" s="37">
        <f>SUM(Y150:Y153)</f>
        <v>0</v>
      </c>
      <c r="Z154" s="37">
        <f t="shared" si="284"/>
        <v>0</v>
      </c>
      <c r="AA154" s="145">
        <f t="shared" si="284"/>
        <v>0</v>
      </c>
      <c r="AB154" s="37">
        <f t="shared" si="284"/>
        <v>0</v>
      </c>
      <c r="AC154" s="37">
        <f>SUM(AC150:AC153)</f>
        <v>0</v>
      </c>
      <c r="AD154" s="37">
        <f>SUM(AD150:AD153)</f>
        <v>0</v>
      </c>
      <c r="AE154" s="37">
        <f>SUM(AE150:AE153)</f>
        <v>0</v>
      </c>
      <c r="AF154" s="145">
        <f t="shared" si="284"/>
        <v>0</v>
      </c>
      <c r="AG154" s="37">
        <f t="shared" ref="AG154:AQ154" si="285">SUM(AG150:AG153)</f>
        <v>0</v>
      </c>
      <c r="AH154" s="37">
        <f t="shared" si="285"/>
        <v>0</v>
      </c>
      <c r="AI154" s="37">
        <f t="shared" si="285"/>
        <v>0</v>
      </c>
      <c r="AJ154" s="37">
        <f t="shared" si="285"/>
        <v>0</v>
      </c>
      <c r="AK154" s="145">
        <f t="shared" si="285"/>
        <v>0</v>
      </c>
      <c r="AL154" s="37">
        <f t="shared" si="285"/>
        <v>0</v>
      </c>
      <c r="AM154" s="37">
        <f t="shared" si="285"/>
        <v>0</v>
      </c>
      <c r="AN154" s="37">
        <f t="shared" si="285"/>
        <v>0</v>
      </c>
      <c r="AO154" s="37">
        <f t="shared" si="285"/>
        <v>0</v>
      </c>
      <c r="AP154" s="145">
        <f t="shared" si="285"/>
        <v>0</v>
      </c>
      <c r="AQ154" s="37">
        <f t="shared" si="285"/>
        <v>0</v>
      </c>
      <c r="AR154" s="37">
        <f t="shared" ref="AR154:AW154" si="286">SUM(AR150:AR153)</f>
        <v>0</v>
      </c>
      <c r="AS154" s="37">
        <f t="shared" si="286"/>
        <v>0</v>
      </c>
      <c r="AT154" s="37">
        <f t="shared" si="286"/>
        <v>0</v>
      </c>
      <c r="AU154" s="145">
        <f t="shared" si="286"/>
        <v>0</v>
      </c>
      <c r="AV154" s="37">
        <f t="shared" si="286"/>
        <v>0</v>
      </c>
      <c r="AW154" s="37">
        <f t="shared" si="286"/>
        <v>0</v>
      </c>
      <c r="AX154" s="37">
        <f t="shared" ref="AX154:BG154" si="287">SUM(AX150:AX153)</f>
        <v>0</v>
      </c>
      <c r="AY154" s="37">
        <f t="shared" si="287"/>
        <v>0</v>
      </c>
      <c r="AZ154" s="145">
        <f t="shared" si="287"/>
        <v>0</v>
      </c>
      <c r="BA154" s="37">
        <f t="shared" si="287"/>
        <v>0</v>
      </c>
      <c r="BB154" s="37">
        <f t="shared" si="287"/>
        <v>0</v>
      </c>
      <c r="BC154" s="37">
        <f t="shared" si="287"/>
        <v>0</v>
      </c>
      <c r="BD154" s="37">
        <f t="shared" si="287"/>
        <v>0</v>
      </c>
      <c r="BE154" s="145">
        <f t="shared" si="287"/>
        <v>0</v>
      </c>
      <c r="BF154" s="37">
        <f t="shared" si="287"/>
        <v>0</v>
      </c>
      <c r="BG154" s="37">
        <f t="shared" si="287"/>
        <v>0</v>
      </c>
      <c r="BH154" s="37">
        <f t="shared" ref="BH154:BT154" si="288">SUM(BH150:BH153)</f>
        <v>0</v>
      </c>
      <c r="BI154" s="37">
        <f t="shared" si="288"/>
        <v>0</v>
      </c>
      <c r="BJ154" s="145">
        <f t="shared" si="288"/>
        <v>0</v>
      </c>
      <c r="BK154" s="37">
        <f t="shared" si="288"/>
        <v>0</v>
      </c>
      <c r="BL154" s="37">
        <f t="shared" si="288"/>
        <v>0</v>
      </c>
      <c r="BM154" s="37">
        <f>SUM(BM150:BM153)</f>
        <v>0</v>
      </c>
      <c r="BN154" s="416" t="e">
        <f t="shared" si="288"/>
        <v>#DIV/0!</v>
      </c>
      <c r="BO154" s="417" t="e">
        <f t="shared" si="288"/>
        <v>#DIV/0!</v>
      </c>
      <c r="BP154" s="416" t="e">
        <f t="shared" si="288"/>
        <v>#DIV/0!</v>
      </c>
      <c r="BQ154" s="416" t="e">
        <f t="shared" si="288"/>
        <v>#DIV/0!</v>
      </c>
      <c r="BR154" s="416" t="e">
        <f t="shared" si="288"/>
        <v>#DIV/0!</v>
      </c>
      <c r="BS154" s="416" t="e">
        <f t="shared" si="288"/>
        <v>#DIV/0!</v>
      </c>
      <c r="BT154" s="417" t="e">
        <f t="shared" si="288"/>
        <v>#DIV/0!</v>
      </c>
    </row>
    <row r="155" spans="1:72" s="182" customFormat="1" ht="13">
      <c r="A155" s="676">
        <f t="shared" si="265"/>
        <v>149</v>
      </c>
      <c r="B155" s="220"/>
      <c r="C155" s="33"/>
      <c r="D155" s="33"/>
      <c r="E155" s="340"/>
      <c r="F155" s="340"/>
      <c r="G155" s="340"/>
      <c r="H155" s="37"/>
      <c r="I155" s="37"/>
      <c r="J155" s="37"/>
      <c r="K155" s="269"/>
      <c r="L155" s="340"/>
      <c r="M155" s="37"/>
      <c r="N155" s="37"/>
      <c r="O155" s="37"/>
      <c r="P155" s="269"/>
      <c r="Q155" s="340"/>
      <c r="R155" s="37"/>
      <c r="S155" s="37"/>
      <c r="T155" s="37"/>
      <c r="U155" s="37"/>
      <c r="V155" s="145"/>
      <c r="W155" s="37"/>
      <c r="X155" s="37"/>
      <c r="Y155" s="37"/>
      <c r="Z155" s="37"/>
      <c r="AA155" s="145"/>
      <c r="AB155" s="37"/>
      <c r="AC155" s="37"/>
      <c r="AD155" s="37"/>
      <c r="AE155" s="37"/>
      <c r="AF155" s="145"/>
      <c r="AG155" s="37"/>
      <c r="AH155" s="37"/>
      <c r="AI155" s="37"/>
      <c r="AJ155" s="37"/>
      <c r="AK155" s="145"/>
      <c r="AL155" s="37"/>
      <c r="AM155" s="37"/>
      <c r="AN155" s="37"/>
      <c r="AO155" s="37"/>
      <c r="AP155" s="145"/>
      <c r="AQ155" s="37"/>
      <c r="AR155" s="37"/>
      <c r="AS155" s="37"/>
      <c r="AT155" s="37"/>
      <c r="AU155" s="145"/>
      <c r="AV155" s="37"/>
      <c r="AW155" s="37"/>
      <c r="AX155" s="37"/>
      <c r="AY155" s="37"/>
      <c r="AZ155" s="145"/>
      <c r="BA155" s="37"/>
      <c r="BB155" s="37"/>
      <c r="BC155" s="37"/>
      <c r="BD155" s="37"/>
      <c r="BE155" s="145"/>
      <c r="BF155" s="37"/>
      <c r="BG155" s="37"/>
      <c r="BH155" s="37"/>
      <c r="BI155" s="37"/>
      <c r="BJ155" s="145"/>
      <c r="BK155" s="37"/>
      <c r="BL155" s="37"/>
      <c r="BM155" s="37"/>
      <c r="BN155" s="416"/>
      <c r="BO155" s="417"/>
      <c r="BP155" s="416"/>
      <c r="BQ155" s="416"/>
      <c r="BR155" s="416"/>
      <c r="BS155" s="416"/>
      <c r="BT155" s="417"/>
    </row>
    <row r="156" spans="1:72" s="182" customFormat="1" ht="13">
      <c r="A156" s="676">
        <f t="shared" si="265"/>
        <v>150</v>
      </c>
      <c r="B156" s="295" t="s">
        <v>252</v>
      </c>
      <c r="C156" s="33"/>
      <c r="D156" s="33"/>
      <c r="E156" s="340"/>
      <c r="F156" s="340"/>
      <c r="G156" s="340"/>
      <c r="H156" s="37"/>
      <c r="I156" s="37"/>
      <c r="J156" s="37"/>
      <c r="K156" s="269"/>
      <c r="L156" s="340"/>
      <c r="M156" s="37"/>
      <c r="N156" s="37"/>
      <c r="O156" s="37"/>
      <c r="P156" s="269"/>
      <c r="Q156" s="340"/>
      <c r="R156" s="37"/>
      <c r="S156" s="37"/>
      <c r="T156" s="37"/>
      <c r="U156" s="37"/>
      <c r="V156" s="145"/>
      <c r="W156" s="37"/>
      <c r="X156" s="37"/>
      <c r="Y156" s="37"/>
      <c r="Z156" s="37"/>
      <c r="AA156" s="145"/>
      <c r="AB156" s="37"/>
      <c r="AC156" s="37"/>
      <c r="AD156" s="37"/>
      <c r="AE156" s="37"/>
      <c r="AF156" s="145"/>
      <c r="AG156" s="37"/>
      <c r="AH156" s="37"/>
      <c r="AI156" s="37"/>
      <c r="AJ156" s="37"/>
      <c r="AK156" s="145"/>
      <c r="AL156" s="37"/>
      <c r="AM156" s="37"/>
      <c r="AN156" s="37"/>
      <c r="AO156" s="37"/>
      <c r="AP156" s="145"/>
      <c r="AQ156" s="37"/>
      <c r="AR156" s="37"/>
      <c r="AS156" s="37"/>
      <c r="AT156" s="37"/>
      <c r="AU156" s="145"/>
      <c r="AV156" s="37"/>
      <c r="AW156" s="37"/>
      <c r="AX156" s="37"/>
      <c r="AY156" s="37"/>
      <c r="AZ156" s="145"/>
      <c r="BA156" s="37"/>
      <c r="BB156" s="37"/>
      <c r="BC156" s="37"/>
      <c r="BD156" s="37"/>
      <c r="BE156" s="145"/>
      <c r="BF156" s="37"/>
      <c r="BG156" s="37"/>
      <c r="BH156" s="37"/>
      <c r="BI156" s="37"/>
      <c r="BJ156" s="145"/>
      <c r="BK156" s="37"/>
      <c r="BL156" s="37"/>
      <c r="BM156" s="37"/>
      <c r="BN156" s="416"/>
      <c r="BO156" s="417"/>
      <c r="BP156" s="416"/>
      <c r="BQ156" s="416"/>
      <c r="BR156" s="416"/>
      <c r="BS156" s="416"/>
      <c r="BT156" s="417"/>
    </row>
    <row r="157" spans="1:72" s="182" customFormat="1" ht="13">
      <c r="A157" s="676">
        <f t="shared" si="265"/>
        <v>151</v>
      </c>
      <c r="B157" s="220" t="s">
        <v>253</v>
      </c>
      <c r="C157" s="33"/>
      <c r="D157" s="33"/>
      <c r="E157" s="340"/>
      <c r="F157" s="340"/>
      <c r="G157" s="340"/>
      <c r="H157" s="37"/>
      <c r="I157" s="37"/>
      <c r="J157" s="37"/>
      <c r="K157" s="269"/>
      <c r="L157" s="340"/>
      <c r="M157" s="37"/>
      <c r="N157" s="37"/>
      <c r="O157" s="37"/>
      <c r="P157" s="269"/>
      <c r="Q157" s="340"/>
      <c r="R157" s="37"/>
      <c r="S157" s="37"/>
      <c r="T157" s="37"/>
      <c r="U157" s="37"/>
      <c r="V157" s="145"/>
      <c r="W157" s="37"/>
      <c r="X157" s="37"/>
      <c r="Y157" s="37"/>
      <c r="Z157" s="37"/>
      <c r="AA157" s="145"/>
      <c r="AB157" s="37"/>
      <c r="AC157" s="37"/>
      <c r="AD157" s="37"/>
      <c r="AE157" s="37"/>
      <c r="AF157" s="145"/>
      <c r="AG157" s="37"/>
      <c r="AH157" s="37"/>
      <c r="AI157" s="37"/>
      <c r="AJ157" s="37"/>
      <c r="AK157" s="145"/>
      <c r="AL157" s="37"/>
      <c r="AM157" s="37"/>
      <c r="AN157" s="37"/>
      <c r="AO157" s="37"/>
      <c r="AP157" s="145"/>
      <c r="AQ157" s="37"/>
      <c r="AR157" s="37"/>
      <c r="AS157" s="37"/>
      <c r="AT157" s="37"/>
      <c r="AU157" s="145"/>
      <c r="AV157" s="37"/>
      <c r="AW157" s="37"/>
      <c r="AX157" s="37"/>
      <c r="AY157" s="37"/>
      <c r="AZ157" s="145"/>
      <c r="BA157" s="37"/>
      <c r="BB157" s="37"/>
      <c r="BC157" s="37"/>
      <c r="BD157" s="37"/>
      <c r="BE157" s="145"/>
      <c r="BF157" s="37"/>
      <c r="BG157" s="37"/>
      <c r="BH157" s="37"/>
      <c r="BI157" s="37"/>
      <c r="BJ157" s="145"/>
      <c r="BK157" s="37"/>
      <c r="BL157" s="37"/>
      <c r="BM157" s="37"/>
      <c r="BN157" s="416"/>
      <c r="BO157" s="417"/>
      <c r="BP157" s="416"/>
      <c r="BQ157" s="416"/>
      <c r="BR157" s="416"/>
      <c r="BS157" s="416"/>
      <c r="BT157" s="417"/>
    </row>
    <row r="158" spans="1:72" s="182" customFormat="1" ht="13">
      <c r="A158" s="676">
        <f t="shared" si="265"/>
        <v>152</v>
      </c>
      <c r="B158" s="220" t="s">
        <v>254</v>
      </c>
      <c r="C158" s="33"/>
      <c r="D158" s="33"/>
      <c r="E158" s="340"/>
      <c r="F158" s="340"/>
      <c r="G158" s="340"/>
      <c r="H158" s="37"/>
      <c r="I158" s="37"/>
      <c r="J158" s="37"/>
      <c r="K158" s="269"/>
      <c r="L158" s="340"/>
      <c r="M158" s="37"/>
      <c r="N158" s="37"/>
      <c r="O158" s="40"/>
      <c r="P158" s="269"/>
      <c r="Q158" s="340"/>
      <c r="R158" s="37"/>
      <c r="S158" s="37"/>
      <c r="T158" s="37"/>
      <c r="U158" s="37"/>
      <c r="V158" s="145"/>
      <c r="W158" s="37"/>
      <c r="X158" s="37"/>
      <c r="Y158" s="37"/>
      <c r="Z158" s="37"/>
      <c r="AA158" s="145"/>
      <c r="AB158" s="37"/>
      <c r="AC158" s="37"/>
      <c r="AD158" s="37"/>
      <c r="AE158" s="37"/>
      <c r="AF158" s="145">
        <f>SUM(AB158:AE158)</f>
        <v>0</v>
      </c>
      <c r="AG158" s="37"/>
      <c r="AH158" s="37"/>
      <c r="AI158" s="37"/>
      <c r="AJ158" s="37"/>
      <c r="AK158" s="145">
        <f>SUM(AG158:AJ158)</f>
        <v>0</v>
      </c>
      <c r="AL158" s="37"/>
      <c r="AM158" s="37"/>
      <c r="AN158" s="37"/>
      <c r="AO158" s="37"/>
      <c r="AP158" s="145">
        <f>SUM(AL158:AO158)</f>
        <v>0</v>
      </c>
      <c r="AQ158" s="37"/>
      <c r="AR158" s="37"/>
      <c r="AS158" s="37"/>
      <c r="AT158" s="37"/>
      <c r="AU158" s="145">
        <f>SUM(AQ158:AT158)</f>
        <v>0</v>
      </c>
      <c r="AV158" s="37"/>
      <c r="AW158" s="37"/>
      <c r="AX158" s="37"/>
      <c r="AY158" s="37"/>
      <c r="AZ158" s="145">
        <f>SUM(AV158:AY158)</f>
        <v>0</v>
      </c>
      <c r="BA158" s="37"/>
      <c r="BB158" s="37"/>
      <c r="BC158" s="37"/>
      <c r="BD158" s="37"/>
      <c r="BE158" s="145">
        <f>SUM(BA158:BD158)</f>
        <v>0</v>
      </c>
      <c r="BF158" s="37"/>
      <c r="BG158" s="37"/>
      <c r="BH158" s="37"/>
      <c r="BI158" s="37"/>
      <c r="BJ158" s="145">
        <f>SUM(BF158:BI158)</f>
        <v>0</v>
      </c>
      <c r="BK158" s="37"/>
      <c r="BL158" s="37"/>
      <c r="BM158" s="37"/>
      <c r="BN158" s="416">
        <v>0</v>
      </c>
      <c r="BO158" s="417">
        <f>SUM(BK158:BN158)</f>
        <v>0</v>
      </c>
      <c r="BP158" s="416">
        <v>0</v>
      </c>
      <c r="BQ158" s="416">
        <v>0</v>
      </c>
      <c r="BR158" s="416">
        <v>0</v>
      </c>
      <c r="BS158" s="416">
        <v>0</v>
      </c>
      <c r="BT158" s="417">
        <f>SUM(BP158:BS158)</f>
        <v>0</v>
      </c>
    </row>
    <row r="159" spans="1:72" s="182" customFormat="1" ht="13">
      <c r="A159" s="676">
        <f t="shared" si="265"/>
        <v>153</v>
      </c>
      <c r="B159" s="220" t="s">
        <v>255</v>
      </c>
      <c r="C159" s="33"/>
      <c r="D159" s="33"/>
      <c r="E159" s="340"/>
      <c r="F159" s="340"/>
      <c r="G159" s="340"/>
      <c r="H159" s="37"/>
      <c r="I159" s="37"/>
      <c r="J159" s="37"/>
      <c r="K159" s="269"/>
      <c r="L159" s="340"/>
      <c r="M159" s="37"/>
      <c r="N159" s="37"/>
      <c r="O159" s="40"/>
      <c r="P159" s="269"/>
      <c r="Q159" s="340"/>
      <c r="R159" s="37"/>
      <c r="S159" s="37"/>
      <c r="T159" s="37"/>
      <c r="U159" s="37"/>
      <c r="V159" s="145"/>
      <c r="W159" s="37"/>
      <c r="X159" s="37"/>
      <c r="Y159" s="37"/>
      <c r="Z159" s="37"/>
      <c r="AA159" s="145"/>
      <c r="AB159" s="37"/>
      <c r="AC159" s="37"/>
      <c r="AD159" s="37"/>
      <c r="AE159" s="37"/>
      <c r="AF159" s="145">
        <f>SUM(AB159:AE159)</f>
        <v>0</v>
      </c>
      <c r="AG159" s="37"/>
      <c r="AH159" s="37"/>
      <c r="AI159" s="37"/>
      <c r="AJ159" s="37"/>
      <c r="AK159" s="145">
        <f>SUM(AG159:AJ159)</f>
        <v>0</v>
      </c>
      <c r="AL159" s="37"/>
      <c r="AM159" s="37"/>
      <c r="AN159" s="37"/>
      <c r="AO159" s="37"/>
      <c r="AP159" s="145">
        <f>SUM(AL159:AO159)</f>
        <v>0</v>
      </c>
      <c r="AQ159" s="37"/>
      <c r="AR159" s="37"/>
      <c r="AS159" s="37"/>
      <c r="AT159" s="37"/>
      <c r="AU159" s="145">
        <f>SUM(AQ159:AT159)</f>
        <v>0</v>
      </c>
      <c r="AV159" s="37"/>
      <c r="AW159" s="37"/>
      <c r="AX159" s="37"/>
      <c r="AY159" s="37"/>
      <c r="AZ159" s="145">
        <f>SUM(AV159:AY159)</f>
        <v>0</v>
      </c>
      <c r="BA159" s="37"/>
      <c r="BB159" s="37"/>
      <c r="BC159" s="37"/>
      <c r="BD159" s="37"/>
      <c r="BE159" s="145">
        <f>SUM(BA159:BD159)</f>
        <v>0</v>
      </c>
      <c r="BF159" s="37"/>
      <c r="BG159" s="37"/>
      <c r="BH159" s="37"/>
      <c r="BI159" s="37"/>
      <c r="BJ159" s="145">
        <f>SUM(BF159:BI159)</f>
        <v>0</v>
      </c>
      <c r="BK159" s="37"/>
      <c r="BL159" s="37"/>
      <c r="BM159" s="37"/>
      <c r="BN159" s="416">
        <v>0</v>
      </c>
      <c r="BO159" s="417">
        <f>SUM(BK159:BN159)</f>
        <v>0</v>
      </c>
      <c r="BP159" s="416">
        <v>0</v>
      </c>
      <c r="BQ159" s="416">
        <v>0</v>
      </c>
      <c r="BR159" s="416">
        <v>0</v>
      </c>
      <c r="BS159" s="416">
        <v>0</v>
      </c>
      <c r="BT159" s="417">
        <f>SUM(BP159:BS159)</f>
        <v>0</v>
      </c>
    </row>
    <row r="160" spans="1:72" s="182" customFormat="1" ht="13">
      <c r="A160" s="676">
        <f t="shared" si="265"/>
        <v>154</v>
      </c>
      <c r="B160" s="220" t="s">
        <v>256</v>
      </c>
      <c r="C160" s="33"/>
      <c r="D160" s="33"/>
      <c r="E160" s="340"/>
      <c r="F160" s="340"/>
      <c r="G160" s="340"/>
      <c r="H160" s="37"/>
      <c r="I160" s="37"/>
      <c r="J160" s="37"/>
      <c r="K160" s="269"/>
      <c r="L160" s="340"/>
      <c r="M160" s="37"/>
      <c r="N160" s="37"/>
      <c r="O160" s="40"/>
      <c r="P160" s="269"/>
      <c r="Q160" s="340"/>
      <c r="R160" s="37"/>
      <c r="S160" s="37"/>
      <c r="T160" s="37"/>
      <c r="U160" s="37"/>
      <c r="V160" s="145"/>
      <c r="W160" s="37"/>
      <c r="X160" s="37"/>
      <c r="Y160" s="37"/>
      <c r="Z160" s="37"/>
      <c r="AA160" s="145"/>
      <c r="AB160" s="37"/>
      <c r="AC160" s="37"/>
      <c r="AD160" s="37"/>
      <c r="AE160" s="37"/>
      <c r="AF160" s="145">
        <f>SUM(AB160:AE160)</f>
        <v>0</v>
      </c>
      <c r="AG160" s="37"/>
      <c r="AH160" s="37"/>
      <c r="AI160" s="37"/>
      <c r="AJ160" s="37"/>
      <c r="AK160" s="145">
        <f>SUM(AG160:AJ160)</f>
        <v>0</v>
      </c>
      <c r="AL160" s="37"/>
      <c r="AM160" s="37"/>
      <c r="AN160" s="37"/>
      <c r="AO160" s="37"/>
      <c r="AP160" s="145">
        <f>SUM(AL160:AO160)</f>
        <v>0</v>
      </c>
      <c r="AQ160" s="37"/>
      <c r="AR160" s="37"/>
      <c r="AS160" s="37"/>
      <c r="AT160" s="37"/>
      <c r="AU160" s="145">
        <f>SUM(AQ160:AT160)</f>
        <v>0</v>
      </c>
      <c r="AV160" s="37"/>
      <c r="AW160" s="37"/>
      <c r="AX160" s="37"/>
      <c r="AY160" s="37"/>
      <c r="AZ160" s="145">
        <f>SUM(AV160:AY160)</f>
        <v>0</v>
      </c>
      <c r="BA160" s="37"/>
      <c r="BB160" s="37"/>
      <c r="BC160" s="37"/>
      <c r="BD160" s="37"/>
      <c r="BE160" s="145">
        <f>SUM(BA160:BD160)</f>
        <v>0</v>
      </c>
      <c r="BF160" s="37"/>
      <c r="BG160" s="37"/>
      <c r="BH160" s="37"/>
      <c r="BI160" s="37"/>
      <c r="BJ160" s="145">
        <f>SUM(BF160:BI160)</f>
        <v>0</v>
      </c>
      <c r="BK160" s="37"/>
      <c r="BL160" s="37"/>
      <c r="BM160" s="37"/>
      <c r="BN160" s="416">
        <v>0</v>
      </c>
      <c r="BO160" s="417">
        <f>SUM(BK160:BN160)</f>
        <v>0</v>
      </c>
      <c r="BP160" s="416">
        <v>0</v>
      </c>
      <c r="BQ160" s="416">
        <v>0</v>
      </c>
      <c r="BR160" s="416">
        <v>0</v>
      </c>
      <c r="BS160" s="416">
        <v>0</v>
      </c>
      <c r="BT160" s="417">
        <f>SUM(BP160:BS160)</f>
        <v>0</v>
      </c>
    </row>
    <row r="161" spans="1:72" s="182" customFormat="1" ht="13">
      <c r="A161" s="676">
        <f t="shared" si="265"/>
        <v>155</v>
      </c>
      <c r="B161" s="220" t="s">
        <v>257</v>
      </c>
      <c r="C161" s="33"/>
      <c r="D161" s="33"/>
      <c r="E161" s="340"/>
      <c r="F161" s="340"/>
      <c r="G161" s="340"/>
      <c r="H161" s="37"/>
      <c r="I161" s="37"/>
      <c r="J161" s="37"/>
      <c r="K161" s="269"/>
      <c r="L161" s="340"/>
      <c r="M161" s="37"/>
      <c r="N161" s="37"/>
      <c r="O161" s="40"/>
      <c r="P161" s="269"/>
      <c r="Q161" s="340"/>
      <c r="R161" s="37"/>
      <c r="S161" s="37"/>
      <c r="T161" s="37"/>
      <c r="U161" s="37"/>
      <c r="V161" s="145"/>
      <c r="W161" s="37"/>
      <c r="X161" s="37"/>
      <c r="Y161" s="37"/>
      <c r="Z161" s="37"/>
      <c r="AA161" s="145"/>
      <c r="AB161" s="37"/>
      <c r="AC161" s="37"/>
      <c r="AD161" s="37"/>
      <c r="AE161" s="37"/>
      <c r="AF161" s="145">
        <f>SUM(AB161:AE161)</f>
        <v>0</v>
      </c>
      <c r="AG161" s="37"/>
      <c r="AH161" s="37"/>
      <c r="AI161" s="37"/>
      <c r="AJ161" s="37"/>
      <c r="AK161" s="145">
        <f>SUM(AG161:AJ161)</f>
        <v>0</v>
      </c>
      <c r="AL161" s="37"/>
      <c r="AM161" s="37"/>
      <c r="AN161" s="37"/>
      <c r="AO161" s="37"/>
      <c r="AP161" s="145">
        <f>SUM(AL161:AO161)</f>
        <v>0</v>
      </c>
      <c r="AQ161" s="37"/>
      <c r="AR161" s="37"/>
      <c r="AS161" s="37"/>
      <c r="AT161" s="37"/>
      <c r="AU161" s="145">
        <f>SUM(AQ161:AT161)</f>
        <v>0</v>
      </c>
      <c r="AV161" s="37"/>
      <c r="AW161" s="37"/>
      <c r="AX161" s="37"/>
      <c r="AY161" s="37"/>
      <c r="AZ161" s="145">
        <f>SUM(AV161:AY161)</f>
        <v>0</v>
      </c>
      <c r="BA161" s="37"/>
      <c r="BB161" s="37"/>
      <c r="BC161" s="37"/>
      <c r="BD161" s="37"/>
      <c r="BE161" s="145">
        <f>SUM(BA161:BD161)</f>
        <v>0</v>
      </c>
      <c r="BF161" s="37"/>
      <c r="BG161" s="37"/>
      <c r="BH161" s="37"/>
      <c r="BI161" s="37"/>
      <c r="BJ161" s="145">
        <f>SUM(BF161:BI161)</f>
        <v>0</v>
      </c>
      <c r="BK161" s="37"/>
      <c r="BL161" s="37"/>
      <c r="BM161" s="37"/>
      <c r="BN161" s="416">
        <v>0</v>
      </c>
      <c r="BO161" s="417">
        <f>SUM(BK161:BN161)</f>
        <v>0</v>
      </c>
      <c r="BP161" s="416">
        <v>0</v>
      </c>
      <c r="BQ161" s="416">
        <v>0</v>
      </c>
      <c r="BR161" s="416">
        <v>0</v>
      </c>
      <c r="BS161" s="416">
        <v>0</v>
      </c>
      <c r="BT161" s="417">
        <f>SUM(BP161:BS161)</f>
        <v>0</v>
      </c>
    </row>
    <row r="162" spans="1:72" s="182" customFormat="1" ht="13">
      <c r="A162" s="676">
        <f t="shared" si="265"/>
        <v>156</v>
      </c>
      <c r="B162" s="220" t="s">
        <v>258</v>
      </c>
      <c r="C162" s="33"/>
      <c r="D162" s="33"/>
      <c r="E162" s="340"/>
      <c r="F162" s="340"/>
      <c r="G162" s="340"/>
      <c r="H162" s="37"/>
      <c r="I162" s="37"/>
      <c r="J162" s="37"/>
      <c r="K162" s="269"/>
      <c r="L162" s="340"/>
      <c r="M162" s="37"/>
      <c r="N162" s="37"/>
      <c r="O162" s="40"/>
      <c r="P162" s="269"/>
      <c r="Q162" s="340"/>
      <c r="R162" s="37"/>
      <c r="S162" s="37"/>
      <c r="T162" s="37"/>
      <c r="U162" s="37"/>
      <c r="V162" s="145"/>
      <c r="W162" s="37"/>
      <c r="X162" s="37"/>
      <c r="Y162" s="37"/>
      <c r="Z162" s="37"/>
      <c r="AA162" s="145"/>
      <c r="AB162" s="37"/>
      <c r="AC162" s="37"/>
      <c r="AD162" s="37"/>
      <c r="AE162" s="37"/>
      <c r="AF162" s="145">
        <f>SUM(AB162:AE162)</f>
        <v>0</v>
      </c>
      <c r="AG162" s="37"/>
      <c r="AH162" s="37"/>
      <c r="AI162" s="37"/>
      <c r="AJ162" s="37"/>
      <c r="AK162" s="145">
        <f>SUM(AG162:AJ162)</f>
        <v>0</v>
      </c>
      <c r="AL162" s="37"/>
      <c r="AM162" s="37"/>
      <c r="AN162" s="37"/>
      <c r="AO162" s="37"/>
      <c r="AP162" s="145">
        <f>SUM(AL162:AO162)</f>
        <v>0</v>
      </c>
      <c r="AQ162" s="37"/>
      <c r="AR162" s="37"/>
      <c r="AS162" s="37"/>
      <c r="AT162" s="37"/>
      <c r="AU162" s="145">
        <f>SUM(AQ162:AT162)</f>
        <v>0</v>
      </c>
      <c r="AV162" s="37"/>
      <c r="AW162" s="37"/>
      <c r="AX162" s="37"/>
      <c r="AY162" s="37"/>
      <c r="AZ162" s="145">
        <f>SUM(AV162:AY162)</f>
        <v>0</v>
      </c>
      <c r="BA162" s="37"/>
      <c r="BB162" s="37"/>
      <c r="BC162" s="37"/>
      <c r="BD162" s="37"/>
      <c r="BE162" s="145">
        <f>SUM(BA162:BD162)</f>
        <v>0</v>
      </c>
      <c r="BF162" s="37"/>
      <c r="BG162" s="37"/>
      <c r="BH162" s="37"/>
      <c r="BI162" s="37"/>
      <c r="BJ162" s="145">
        <f>SUM(BF162:BI162)</f>
        <v>0</v>
      </c>
      <c r="BK162" s="37"/>
      <c r="BL162" s="37"/>
      <c r="BM162" s="37"/>
      <c r="BN162" s="416">
        <v>0</v>
      </c>
      <c r="BO162" s="417">
        <f>SUM(BK162:BN162)</f>
        <v>0</v>
      </c>
      <c r="BP162" s="416">
        <v>0</v>
      </c>
      <c r="BQ162" s="416">
        <v>0</v>
      </c>
      <c r="BR162" s="416">
        <v>0</v>
      </c>
      <c r="BS162" s="416">
        <v>0</v>
      </c>
      <c r="BT162" s="417">
        <f>SUM(BP162:BS162)</f>
        <v>0</v>
      </c>
    </row>
    <row r="163" spans="1:72" s="182" customFormat="1" ht="13">
      <c r="A163" s="676">
        <f t="shared" si="265"/>
        <v>157</v>
      </c>
      <c r="B163" s="169" t="s">
        <v>259</v>
      </c>
      <c r="E163" s="171"/>
      <c r="F163" s="171"/>
      <c r="G163" s="171"/>
      <c r="H163" s="40"/>
      <c r="I163" s="40"/>
      <c r="J163" s="40"/>
      <c r="K163" s="269"/>
      <c r="L163" s="171"/>
      <c r="M163" s="40"/>
      <c r="N163" s="40"/>
      <c r="O163" s="40"/>
      <c r="P163" s="269"/>
      <c r="Q163" s="171"/>
      <c r="R163" s="40"/>
      <c r="S163" s="40"/>
      <c r="T163" s="40"/>
      <c r="U163" s="37"/>
      <c r="V163" s="145"/>
      <c r="W163" s="40"/>
      <c r="X163" s="40"/>
      <c r="Y163" s="40"/>
      <c r="Z163" s="37"/>
      <c r="AA163" s="145"/>
      <c r="AB163" s="40"/>
      <c r="AC163" s="40"/>
      <c r="AD163" s="40"/>
      <c r="AE163" s="37"/>
      <c r="AF163" s="145"/>
      <c r="AG163" s="40"/>
      <c r="AH163" s="40"/>
      <c r="AI163" s="40"/>
      <c r="AJ163" s="37"/>
      <c r="AK163" s="145"/>
      <c r="AL163" s="40"/>
      <c r="AM163" s="40"/>
      <c r="AN163" s="40"/>
      <c r="AO163" s="37"/>
      <c r="AP163" s="145"/>
      <c r="AQ163" s="40"/>
      <c r="AR163" s="40"/>
      <c r="AS163" s="40"/>
      <c r="AT163" s="37"/>
      <c r="AU163" s="145"/>
      <c r="AV163" s="40"/>
      <c r="AW163" s="40"/>
      <c r="AX163" s="40"/>
      <c r="AY163" s="37"/>
      <c r="AZ163" s="145"/>
      <c r="BA163" s="40"/>
      <c r="BB163" s="40"/>
      <c r="BC163" s="40"/>
      <c r="BD163" s="37"/>
      <c r="BE163" s="145"/>
      <c r="BF163" s="40"/>
      <c r="BG163" s="40"/>
      <c r="BH163" s="40"/>
      <c r="BI163" s="37"/>
      <c r="BJ163" s="145"/>
      <c r="BK163" s="40"/>
      <c r="BL163" s="40"/>
      <c r="BM163" s="40"/>
      <c r="BN163" s="368"/>
      <c r="BO163" s="417"/>
      <c r="BP163" s="368"/>
      <c r="BQ163" s="368"/>
      <c r="BR163" s="368"/>
      <c r="BS163" s="368"/>
      <c r="BT163" s="417"/>
    </row>
    <row r="164" spans="1:72" s="182" customFormat="1" ht="13">
      <c r="A164" s="676">
        <f t="shared" si="265"/>
        <v>158</v>
      </c>
      <c r="B164" s="169" t="s">
        <v>260</v>
      </c>
      <c r="E164" s="171"/>
      <c r="F164" s="171"/>
      <c r="G164" s="171"/>
      <c r="H164" s="40"/>
      <c r="I164" s="40"/>
      <c r="J164" s="40"/>
      <c r="K164" s="269"/>
      <c r="L164" s="171"/>
      <c r="M164" s="40"/>
      <c r="N164" s="40"/>
      <c r="O164" s="40"/>
      <c r="P164" s="269"/>
      <c r="Q164" s="171"/>
      <c r="R164" s="40"/>
      <c r="S164" s="40"/>
      <c r="T164" s="40"/>
      <c r="U164" s="37"/>
      <c r="V164" s="145"/>
      <c r="W164" s="37"/>
      <c r="X164" s="40"/>
      <c r="Y164" s="40"/>
      <c r="Z164" s="37"/>
      <c r="AA164" s="145"/>
      <c r="AB164" s="37"/>
      <c r="AC164" s="40"/>
      <c r="AD164" s="40"/>
      <c r="AE164" s="37"/>
      <c r="AF164" s="145">
        <v>0</v>
      </c>
      <c r="AG164" s="37"/>
      <c r="AH164" s="40"/>
      <c r="AI164" s="40"/>
      <c r="AJ164" s="37"/>
      <c r="AK164" s="145">
        <v>0</v>
      </c>
      <c r="AL164" s="37"/>
      <c r="AM164" s="40"/>
      <c r="AN164" s="40"/>
      <c r="AO164" s="37"/>
      <c r="AP164" s="145">
        <v>0</v>
      </c>
      <c r="AQ164" s="37"/>
      <c r="AR164" s="40"/>
      <c r="AS164" s="40"/>
      <c r="AT164" s="37"/>
      <c r="AU164" s="145">
        <v>0</v>
      </c>
      <c r="AV164" s="37"/>
      <c r="AW164" s="40"/>
      <c r="AX164" s="40"/>
      <c r="AY164" s="37"/>
      <c r="AZ164" s="145">
        <v>0</v>
      </c>
      <c r="BA164" s="37"/>
      <c r="BB164" s="40"/>
      <c r="BC164" s="40"/>
      <c r="BD164" s="37"/>
      <c r="BE164" s="145">
        <v>0</v>
      </c>
      <c r="BF164" s="37"/>
      <c r="BG164" s="40"/>
      <c r="BH164" s="40"/>
      <c r="BI164" s="37"/>
      <c r="BJ164" s="145">
        <v>0</v>
      </c>
      <c r="BK164" s="37"/>
      <c r="BL164" s="40"/>
      <c r="BM164" s="40"/>
      <c r="BN164" s="416">
        <v>0</v>
      </c>
      <c r="BO164" s="417">
        <v>0</v>
      </c>
      <c r="BP164" s="416">
        <v>0</v>
      </c>
      <c r="BQ164" s="416">
        <v>0</v>
      </c>
      <c r="BR164" s="416">
        <v>0</v>
      </c>
      <c r="BS164" s="416">
        <v>0</v>
      </c>
      <c r="BT164" s="417">
        <v>0</v>
      </c>
    </row>
    <row r="165" spans="1:72" s="182" customFormat="1" ht="13">
      <c r="A165" s="676">
        <f t="shared" si="265"/>
        <v>159</v>
      </c>
      <c r="B165" s="169" t="s">
        <v>261</v>
      </c>
      <c r="E165" s="171"/>
      <c r="F165" s="171"/>
      <c r="G165" s="171"/>
      <c r="H165" s="40"/>
      <c r="I165" s="40"/>
      <c r="J165" s="40"/>
      <c r="K165" s="269"/>
      <c r="L165" s="171"/>
      <c r="M165" s="40"/>
      <c r="N165" s="40"/>
      <c r="O165" s="40"/>
      <c r="P165" s="269"/>
      <c r="Q165" s="171"/>
      <c r="R165" s="40"/>
      <c r="S165" s="40"/>
      <c r="T165" s="40"/>
      <c r="U165" s="37"/>
      <c r="V165" s="145"/>
      <c r="W165" s="40"/>
      <c r="X165" s="40"/>
      <c r="Y165" s="40"/>
      <c r="Z165" s="37"/>
      <c r="AA165" s="145"/>
      <c r="AB165" s="40"/>
      <c r="AC165" s="40"/>
      <c r="AD165" s="40"/>
      <c r="AE165" s="37"/>
      <c r="AF165" s="145">
        <f>SUM(AB165:AE165)</f>
        <v>0</v>
      </c>
      <c r="AG165" s="40"/>
      <c r="AH165" s="40"/>
      <c r="AI165" s="40"/>
      <c r="AJ165" s="37"/>
      <c r="AK165" s="145">
        <f>SUM(AG165:AJ165)</f>
        <v>0</v>
      </c>
      <c r="AL165" s="40"/>
      <c r="AM165" s="40"/>
      <c r="AN165" s="40"/>
      <c r="AO165" s="37"/>
      <c r="AP165" s="145">
        <f>SUM(AL165:AO165)</f>
        <v>0</v>
      </c>
      <c r="AQ165" s="40"/>
      <c r="AR165" s="40"/>
      <c r="AS165" s="40"/>
      <c r="AT165" s="37"/>
      <c r="AU165" s="145">
        <f>SUM(AQ165:AT165)</f>
        <v>0</v>
      </c>
      <c r="AV165" s="40"/>
      <c r="AW165" s="40"/>
      <c r="AX165" s="40"/>
      <c r="AY165" s="37"/>
      <c r="AZ165" s="145">
        <f>SUM(AV165:AY165)</f>
        <v>0</v>
      </c>
      <c r="BA165" s="40"/>
      <c r="BB165" s="40"/>
      <c r="BC165" s="40"/>
      <c r="BD165" s="37"/>
      <c r="BE165" s="145">
        <f>SUM(BA165:BD165)</f>
        <v>0</v>
      </c>
      <c r="BF165" s="40"/>
      <c r="BG165" s="40"/>
      <c r="BH165" s="40"/>
      <c r="BI165" s="37"/>
      <c r="BJ165" s="145">
        <f>SUM(BF165:BI165)</f>
        <v>0</v>
      </c>
      <c r="BK165" s="40"/>
      <c r="BL165" s="40"/>
      <c r="BM165" s="40"/>
      <c r="BN165" s="368">
        <v>0</v>
      </c>
      <c r="BO165" s="417">
        <f>SUM(BK165:BN165)</f>
        <v>0</v>
      </c>
      <c r="BP165" s="368">
        <v>0</v>
      </c>
      <c r="BQ165" s="368">
        <v>0</v>
      </c>
      <c r="BR165" s="368">
        <v>0</v>
      </c>
      <c r="BS165" s="368">
        <v>0</v>
      </c>
      <c r="BT165" s="417">
        <f>SUM(BP165:BS165)</f>
        <v>0</v>
      </c>
    </row>
    <row r="166" spans="1:72" s="182" customFormat="1" ht="13">
      <c r="A166" s="676">
        <f t="shared" si="265"/>
        <v>160</v>
      </c>
      <c r="B166" s="169" t="s">
        <v>262</v>
      </c>
      <c r="E166" s="171"/>
      <c r="F166" s="171"/>
      <c r="G166" s="171"/>
      <c r="H166" s="40"/>
      <c r="I166" s="40"/>
      <c r="J166" s="40"/>
      <c r="K166" s="269"/>
      <c r="L166" s="171"/>
      <c r="M166" s="40"/>
      <c r="N166" s="40"/>
      <c r="O166" s="40"/>
      <c r="P166" s="269"/>
      <c r="Q166" s="171"/>
      <c r="R166" s="40"/>
      <c r="S166" s="40"/>
      <c r="T166" s="40"/>
      <c r="U166" s="37"/>
      <c r="V166" s="145"/>
      <c r="W166" s="40"/>
      <c r="X166" s="40"/>
      <c r="Y166" s="40"/>
      <c r="Z166" s="37"/>
      <c r="AA166" s="145"/>
      <c r="AB166" s="40"/>
      <c r="AC166" s="40"/>
      <c r="AD166" s="40"/>
      <c r="AE166" s="37"/>
      <c r="AF166" s="145"/>
      <c r="AG166" s="40"/>
      <c r="AH166" s="40"/>
      <c r="AI166" s="40"/>
      <c r="AJ166" s="37"/>
      <c r="AK166" s="145"/>
      <c r="AL166" s="40"/>
      <c r="AM166" s="40"/>
      <c r="AN166" s="40"/>
      <c r="AO166" s="37"/>
      <c r="AP166" s="145"/>
      <c r="AQ166" s="40"/>
      <c r="AR166" s="40"/>
      <c r="AS166" s="40"/>
      <c r="AT166" s="37"/>
      <c r="AU166" s="145"/>
      <c r="AV166" s="40"/>
      <c r="AW166" s="40"/>
      <c r="AX166" s="40"/>
      <c r="AY166" s="37"/>
      <c r="AZ166" s="145"/>
      <c r="BA166" s="40"/>
      <c r="BB166" s="40"/>
      <c r="BC166" s="40"/>
      <c r="BD166" s="37"/>
      <c r="BE166" s="145"/>
      <c r="BF166" s="40"/>
      <c r="BG166" s="40"/>
      <c r="BH166" s="40"/>
      <c r="BI166" s="37"/>
      <c r="BJ166" s="145"/>
      <c r="BK166" s="40"/>
      <c r="BL166" s="40"/>
      <c r="BM166" s="40"/>
      <c r="BN166" s="368"/>
      <c r="BO166" s="417"/>
      <c r="BP166" s="368"/>
      <c r="BQ166" s="368"/>
      <c r="BR166" s="368"/>
      <c r="BS166" s="368"/>
      <c r="BT166" s="417"/>
    </row>
    <row r="167" spans="1:72" s="182" customFormat="1" ht="13">
      <c r="A167" s="676">
        <f t="shared" si="265"/>
        <v>161</v>
      </c>
      <c r="B167" s="169" t="s">
        <v>263</v>
      </c>
      <c r="E167" s="171"/>
      <c r="F167" s="171"/>
      <c r="G167" s="171"/>
      <c r="H167" s="40"/>
      <c r="I167" s="40"/>
      <c r="J167" s="40"/>
      <c r="K167" s="269"/>
      <c r="L167" s="171"/>
      <c r="M167" s="40"/>
      <c r="N167" s="40"/>
      <c r="O167" s="40"/>
      <c r="P167" s="269"/>
      <c r="Q167" s="171"/>
      <c r="R167" s="40"/>
      <c r="S167" s="40"/>
      <c r="T167" s="40"/>
      <c r="U167" s="37"/>
      <c r="V167" s="145"/>
      <c r="W167" s="40"/>
      <c r="X167" s="40"/>
      <c r="Y167" s="40"/>
      <c r="Z167" s="37"/>
      <c r="AA167" s="145"/>
      <c r="AB167" s="40"/>
      <c r="AC167" s="40"/>
      <c r="AD167" s="40"/>
      <c r="AE167" s="37"/>
      <c r="AF167" s="145">
        <f>SUM(AB167:AE167)</f>
        <v>0</v>
      </c>
      <c r="AG167" s="40"/>
      <c r="AH167" s="40"/>
      <c r="AI167" s="40"/>
      <c r="AJ167" s="37"/>
      <c r="AK167" s="145">
        <f>SUM(AG167:AJ167)</f>
        <v>0</v>
      </c>
      <c r="AL167" s="40"/>
      <c r="AM167" s="40"/>
      <c r="AN167" s="40"/>
      <c r="AO167" s="37"/>
      <c r="AP167" s="145">
        <f>SUM(AL167:AO167)</f>
        <v>0</v>
      </c>
      <c r="AQ167" s="40"/>
      <c r="AR167" s="40"/>
      <c r="AS167" s="40"/>
      <c r="AT167" s="37"/>
      <c r="AU167" s="145">
        <f>SUM(AQ167:AT167)</f>
        <v>0</v>
      </c>
      <c r="AV167" s="40"/>
      <c r="AW167" s="40"/>
      <c r="AX167" s="40"/>
      <c r="AY167" s="37"/>
      <c r="AZ167" s="145">
        <f>SUM(AV167:AY167)</f>
        <v>0</v>
      </c>
      <c r="BA167" s="40"/>
      <c r="BB167" s="40"/>
      <c r="BC167" s="40"/>
      <c r="BD167" s="37"/>
      <c r="BE167" s="145">
        <f>SUM(BA167:BD167)</f>
        <v>0</v>
      </c>
      <c r="BF167" s="40"/>
      <c r="BG167" s="40"/>
      <c r="BH167" s="40"/>
      <c r="BI167" s="37"/>
      <c r="BJ167" s="145">
        <f>SUM(BF167:BI167)</f>
        <v>0</v>
      </c>
      <c r="BK167" s="40"/>
      <c r="BL167" s="40"/>
      <c r="BM167" s="40"/>
      <c r="BN167" s="368">
        <v>0</v>
      </c>
      <c r="BO167" s="417">
        <f>SUM(BK167:BN167)</f>
        <v>0</v>
      </c>
      <c r="BP167" s="368">
        <v>0</v>
      </c>
      <c r="BQ167" s="368">
        <v>0</v>
      </c>
      <c r="BR167" s="368">
        <v>0</v>
      </c>
      <c r="BS167" s="368">
        <v>0</v>
      </c>
      <c r="BT167" s="417">
        <f>SUM(BP167:BS167)</f>
        <v>0</v>
      </c>
    </row>
    <row r="168" spans="1:72" s="182" customFormat="1" ht="13">
      <c r="A168" s="676">
        <f t="shared" si="265"/>
        <v>162</v>
      </c>
      <c r="B168" s="220" t="s">
        <v>264</v>
      </c>
      <c r="C168" s="33"/>
      <c r="D168" s="33"/>
      <c r="E168" s="340"/>
      <c r="F168" s="340"/>
      <c r="G168" s="340"/>
      <c r="H168" s="37"/>
      <c r="I168" s="37"/>
      <c r="J168" s="37"/>
      <c r="K168" s="269"/>
      <c r="L168" s="340"/>
      <c r="M168" s="37"/>
      <c r="N168" s="37"/>
      <c r="O168" s="37"/>
      <c r="P168" s="269"/>
      <c r="Q168" s="340"/>
      <c r="R168" s="37"/>
      <c r="S168" s="37"/>
      <c r="T168" s="37"/>
      <c r="U168" s="37"/>
      <c r="V168" s="145"/>
      <c r="W168" s="37"/>
      <c r="X168" s="37"/>
      <c r="Y168" s="37"/>
      <c r="Z168" s="37"/>
      <c r="AA168" s="145"/>
      <c r="AB168" s="37"/>
      <c r="AC168" s="37"/>
      <c r="AD168" s="37"/>
      <c r="AE168" s="37"/>
      <c r="AF168" s="145">
        <f>SUM(AB168:AE168)</f>
        <v>0</v>
      </c>
      <c r="AG168" s="37"/>
      <c r="AH168" s="37"/>
      <c r="AI168" s="37"/>
      <c r="AJ168" s="37"/>
      <c r="AK168" s="145">
        <f>SUM(AG168:AJ168)</f>
        <v>0</v>
      </c>
      <c r="AL168" s="37"/>
      <c r="AM168" s="37"/>
      <c r="AN168" s="37"/>
      <c r="AO168" s="37"/>
      <c r="AP168" s="145">
        <f>SUM(AL168:AO168)</f>
        <v>0</v>
      </c>
      <c r="AQ168" s="37"/>
      <c r="AR168" s="37"/>
      <c r="AS168" s="37"/>
      <c r="AT168" s="37"/>
      <c r="AU168" s="145">
        <f>SUM(AQ168:AT168)</f>
        <v>0</v>
      </c>
      <c r="AV168" s="37"/>
      <c r="AW168" s="37"/>
      <c r="AX168" s="37"/>
      <c r="AY168" s="37"/>
      <c r="AZ168" s="145">
        <f>SUM(AV168:AY168)</f>
        <v>0</v>
      </c>
      <c r="BA168" s="37"/>
      <c r="BB168" s="37"/>
      <c r="BC168" s="37"/>
      <c r="BD168" s="37"/>
      <c r="BE168" s="145">
        <f>SUM(BA168:BD168)</f>
        <v>0</v>
      </c>
      <c r="BF168" s="37"/>
      <c r="BG168" s="37"/>
      <c r="BH168" s="37"/>
      <c r="BI168" s="37"/>
      <c r="BJ168" s="145">
        <f>SUM(BF168:BI168)</f>
        <v>0</v>
      </c>
      <c r="BK168" s="37"/>
      <c r="BL168" s="37"/>
      <c r="BM168" s="37"/>
      <c r="BN168" s="416">
        <v>0</v>
      </c>
      <c r="BO168" s="417">
        <f>SUM(BK168:BN168)</f>
        <v>0</v>
      </c>
      <c r="BP168" s="416">
        <v>0</v>
      </c>
      <c r="BQ168" s="416">
        <v>0</v>
      </c>
      <c r="BR168" s="416">
        <v>0</v>
      </c>
      <c r="BS168" s="416">
        <v>0</v>
      </c>
      <c r="BT168" s="417">
        <f>SUM(BP168:BS168)</f>
        <v>0</v>
      </c>
    </row>
    <row r="169" spans="1:72" s="182" customFormat="1" ht="13">
      <c r="A169" s="676">
        <f t="shared" si="265"/>
        <v>163</v>
      </c>
      <c r="B169" s="169" t="s">
        <v>265</v>
      </c>
      <c r="E169" s="171"/>
      <c r="F169" s="171"/>
      <c r="G169" s="171"/>
      <c r="H169" s="40"/>
      <c r="I169" s="40"/>
      <c r="J169" s="40"/>
      <c r="K169" s="269"/>
      <c r="L169" s="171"/>
      <c r="M169" s="40"/>
      <c r="N169" s="40"/>
      <c r="O169" s="40"/>
      <c r="P169" s="269"/>
      <c r="Q169" s="171"/>
      <c r="R169" s="40"/>
      <c r="S169" s="40"/>
      <c r="T169" s="40"/>
      <c r="U169" s="37"/>
      <c r="V169" s="145"/>
      <c r="W169" s="40"/>
      <c r="X169" s="40"/>
      <c r="Y169" s="40"/>
      <c r="Z169" s="37"/>
      <c r="AA169" s="145"/>
      <c r="AB169" s="40"/>
      <c r="AC169" s="40"/>
      <c r="AD169" s="40"/>
      <c r="AE169" s="37"/>
      <c r="AF169" s="145">
        <f>SUM(AB169:AE169)</f>
        <v>0</v>
      </c>
      <c r="AG169" s="40"/>
      <c r="AH169" s="40"/>
      <c r="AI169" s="40"/>
      <c r="AJ169" s="37"/>
      <c r="AK169" s="145">
        <f>SUM(AG169:AJ169)</f>
        <v>0</v>
      </c>
      <c r="AL169" s="40"/>
      <c r="AM169" s="40"/>
      <c r="AN169" s="40"/>
      <c r="AO169" s="37"/>
      <c r="AP169" s="145">
        <f>SUM(AL169:AO169)</f>
        <v>0</v>
      </c>
      <c r="AQ169" s="40"/>
      <c r="AR169" s="40"/>
      <c r="AS169" s="40"/>
      <c r="AT169" s="37"/>
      <c r="AU169" s="145">
        <f>SUM(AQ169:AT169)</f>
        <v>0</v>
      </c>
      <c r="AV169" s="40"/>
      <c r="AW169" s="40"/>
      <c r="AX169" s="40"/>
      <c r="AY169" s="37"/>
      <c r="AZ169" s="145">
        <f>SUM(AV169:AY169)</f>
        <v>0</v>
      </c>
      <c r="BA169" s="40"/>
      <c r="BB169" s="40"/>
      <c r="BC169" s="40"/>
      <c r="BD169" s="37"/>
      <c r="BE169" s="145">
        <f>SUM(BA169:BD169)</f>
        <v>0</v>
      </c>
      <c r="BF169" s="40"/>
      <c r="BG169" s="40"/>
      <c r="BH169" s="40"/>
      <c r="BI169" s="37"/>
      <c r="BJ169" s="145">
        <f>SUM(BF169:BI169)</f>
        <v>0</v>
      </c>
      <c r="BK169" s="40"/>
      <c r="BL169" s="40"/>
      <c r="BM169" s="40"/>
      <c r="BN169" s="368"/>
      <c r="BO169" s="417">
        <f>SUM(BK169:BN169)</f>
        <v>0</v>
      </c>
      <c r="BP169" s="368"/>
      <c r="BQ169" s="368"/>
      <c r="BR169" s="368"/>
      <c r="BS169" s="368"/>
      <c r="BT169" s="417">
        <f>SUM(BP169:BS169)</f>
        <v>0</v>
      </c>
    </row>
    <row r="170" spans="1:72" s="182" customFormat="1" ht="13">
      <c r="A170" s="676">
        <f t="shared" si="265"/>
        <v>164</v>
      </c>
      <c r="B170" s="169" t="s">
        <v>266</v>
      </c>
      <c r="E170" s="171"/>
      <c r="F170" s="171"/>
      <c r="G170" s="171"/>
      <c r="H170" s="40"/>
      <c r="I170" s="40"/>
      <c r="J170" s="40"/>
      <c r="K170" s="269"/>
      <c r="L170" s="171"/>
      <c r="M170" s="40"/>
      <c r="N170" s="40"/>
      <c r="O170" s="40"/>
      <c r="P170" s="269"/>
      <c r="Q170" s="171"/>
      <c r="R170" s="40"/>
      <c r="S170" s="40"/>
      <c r="T170" s="40"/>
      <c r="U170" s="37"/>
      <c r="V170" s="145"/>
      <c r="W170" s="40"/>
      <c r="X170" s="40"/>
      <c r="Y170" s="40"/>
      <c r="Z170" s="37"/>
      <c r="AA170" s="145"/>
      <c r="AB170" s="40"/>
      <c r="AC170" s="40"/>
      <c r="AD170" s="40"/>
      <c r="AE170" s="37"/>
      <c r="AF170" s="145">
        <f>SUM(AB170:AE170)</f>
        <v>0</v>
      </c>
      <c r="AG170" s="40"/>
      <c r="AH170" s="40"/>
      <c r="AI170" s="40"/>
      <c r="AJ170" s="37"/>
      <c r="AK170" s="145">
        <f>SUM(AG170:AJ170)</f>
        <v>0</v>
      </c>
      <c r="AL170" s="40"/>
      <c r="AM170" s="40"/>
      <c r="AN170" s="40"/>
      <c r="AO170" s="37"/>
      <c r="AP170" s="145">
        <f>SUM(AL170:AO170)</f>
        <v>0</v>
      </c>
      <c r="AQ170" s="40"/>
      <c r="AR170" s="40"/>
      <c r="AS170" s="40"/>
      <c r="AT170" s="37"/>
      <c r="AU170" s="145">
        <f>SUM(AQ170:AT170)</f>
        <v>0</v>
      </c>
      <c r="AV170" s="40"/>
      <c r="AW170" s="40"/>
      <c r="AX170" s="40"/>
      <c r="AY170" s="37"/>
      <c r="AZ170" s="145">
        <f>SUM(AV170:AY170)</f>
        <v>0</v>
      </c>
      <c r="BA170" s="40"/>
      <c r="BB170" s="40"/>
      <c r="BC170" s="40"/>
      <c r="BD170" s="37"/>
      <c r="BE170" s="145">
        <f>SUM(BA170:BD170)</f>
        <v>0</v>
      </c>
      <c r="BF170" s="40"/>
      <c r="BG170" s="40"/>
      <c r="BH170" s="40"/>
      <c r="BI170" s="37"/>
      <c r="BJ170" s="145">
        <f>SUM(BF170:BI170)</f>
        <v>0</v>
      </c>
      <c r="BK170" s="40"/>
      <c r="BL170" s="40"/>
      <c r="BM170" s="40"/>
      <c r="BN170" s="368">
        <v>0</v>
      </c>
      <c r="BO170" s="417">
        <f>SUM(BK170:BN170)</f>
        <v>0</v>
      </c>
      <c r="BP170" s="368">
        <v>0</v>
      </c>
      <c r="BQ170" s="368">
        <v>0</v>
      </c>
      <c r="BR170" s="368">
        <v>0</v>
      </c>
      <c r="BS170" s="368">
        <v>0</v>
      </c>
      <c r="BT170" s="417">
        <f>SUM(BP170:BS170)</f>
        <v>0</v>
      </c>
    </row>
    <row r="171" spans="1:72" s="182" customFormat="1" ht="13">
      <c r="A171" s="676">
        <f t="shared" si="265"/>
        <v>165</v>
      </c>
      <c r="B171" s="169" t="s">
        <v>267</v>
      </c>
      <c r="E171" s="651"/>
      <c r="F171" s="282"/>
      <c r="G171" s="282"/>
      <c r="H171" s="283"/>
      <c r="I171" s="283"/>
      <c r="J171" s="283"/>
      <c r="K171" s="650"/>
      <c r="L171" s="282"/>
      <c r="M171" s="283"/>
      <c r="N171" s="283"/>
      <c r="O171" s="283"/>
      <c r="P171" s="650"/>
      <c r="Q171" s="282"/>
      <c r="R171" s="283"/>
      <c r="S171" s="283"/>
      <c r="T171" s="283"/>
      <c r="U171" s="39"/>
      <c r="V171" s="172"/>
      <c r="W171" s="283"/>
      <c r="X171" s="283"/>
      <c r="Y171" s="283"/>
      <c r="Z171" s="39"/>
      <c r="AA171" s="172"/>
      <c r="AB171" s="283"/>
      <c r="AC171" s="283"/>
      <c r="AD171" s="283"/>
      <c r="AE171" s="39"/>
      <c r="AF171" s="172">
        <f>SUM(AB171:AE171)</f>
        <v>0</v>
      </c>
      <c r="AG171" s="283"/>
      <c r="AH171" s="283"/>
      <c r="AI171" s="283"/>
      <c r="AJ171" s="39"/>
      <c r="AK171" s="172">
        <f>SUM(AG171:AJ171)</f>
        <v>0</v>
      </c>
      <c r="AL171" s="283"/>
      <c r="AM171" s="283"/>
      <c r="AN171" s="283"/>
      <c r="AO171" s="39"/>
      <c r="AP171" s="172">
        <f>SUM(AL171:AO171)</f>
        <v>0</v>
      </c>
      <c r="AQ171" s="283"/>
      <c r="AR171" s="283"/>
      <c r="AS171" s="283"/>
      <c r="AT171" s="39"/>
      <c r="AU171" s="172">
        <f>SUM(AQ171:AT171)</f>
        <v>0</v>
      </c>
      <c r="AV171" s="283"/>
      <c r="AW171" s="283"/>
      <c r="AX171" s="283"/>
      <c r="AY171" s="39"/>
      <c r="AZ171" s="172">
        <f>SUM(AV171:AY171)</f>
        <v>0</v>
      </c>
      <c r="BA171" s="283"/>
      <c r="BB171" s="283"/>
      <c r="BC171" s="283"/>
      <c r="BD171" s="39"/>
      <c r="BE171" s="172">
        <f>SUM(BA171:BD171)</f>
        <v>0</v>
      </c>
      <c r="BF171" s="283"/>
      <c r="BG171" s="283"/>
      <c r="BH171" s="283"/>
      <c r="BI171" s="39"/>
      <c r="BJ171" s="172">
        <f>SUM(BF171:BI171)</f>
        <v>0</v>
      </c>
      <c r="BK171" s="283"/>
      <c r="BL171" s="283"/>
      <c r="BM171" s="283"/>
      <c r="BN171" s="422">
        <v>0</v>
      </c>
      <c r="BO171" s="421">
        <f>SUM(BK171:BN171)</f>
        <v>0</v>
      </c>
      <c r="BP171" s="422">
        <v>0</v>
      </c>
      <c r="BQ171" s="422">
        <v>0</v>
      </c>
      <c r="BR171" s="422">
        <v>0</v>
      </c>
      <c r="BS171" s="422">
        <v>0</v>
      </c>
      <c r="BT171" s="421">
        <f>SUM(BP171:BS171)</f>
        <v>0</v>
      </c>
    </row>
    <row r="172" spans="1:72" s="28" customFormat="1" ht="13">
      <c r="A172" s="676">
        <f t="shared" si="265"/>
        <v>166</v>
      </c>
      <c r="B172" s="338" t="s">
        <v>251</v>
      </c>
      <c r="E172" s="237">
        <f>SUM(E157:E171)</f>
        <v>0</v>
      </c>
      <c r="F172" s="237">
        <f t="shared" ref="F172:AF172" si="289">SUM(F157:F171)</f>
        <v>0</v>
      </c>
      <c r="G172" s="237">
        <f t="shared" si="289"/>
        <v>0</v>
      </c>
      <c r="H172" s="40">
        <f t="shared" si="289"/>
        <v>0</v>
      </c>
      <c r="I172" s="40">
        <f t="shared" si="289"/>
        <v>0</v>
      </c>
      <c r="J172" s="40">
        <f t="shared" si="289"/>
        <v>0</v>
      </c>
      <c r="K172" s="40">
        <f t="shared" si="289"/>
        <v>0</v>
      </c>
      <c r="L172" s="237">
        <f t="shared" si="289"/>
        <v>0</v>
      </c>
      <c r="M172" s="40">
        <f t="shared" si="289"/>
        <v>0</v>
      </c>
      <c r="N172" s="40">
        <f t="shared" si="289"/>
        <v>0</v>
      </c>
      <c r="O172" s="40">
        <f t="shared" si="289"/>
        <v>0</v>
      </c>
      <c r="P172" s="40">
        <f t="shared" si="289"/>
        <v>0</v>
      </c>
      <c r="Q172" s="237">
        <f t="shared" si="289"/>
        <v>0</v>
      </c>
      <c r="R172" s="40">
        <f t="shared" si="289"/>
        <v>0</v>
      </c>
      <c r="S172" s="40">
        <f t="shared" si="289"/>
        <v>0</v>
      </c>
      <c r="T172" s="40">
        <f t="shared" si="289"/>
        <v>0</v>
      </c>
      <c r="U172" s="40">
        <f t="shared" si="289"/>
        <v>0</v>
      </c>
      <c r="V172" s="237">
        <f t="shared" si="289"/>
        <v>0</v>
      </c>
      <c r="W172" s="40">
        <f t="shared" si="289"/>
        <v>0</v>
      </c>
      <c r="X172" s="40">
        <f>SUM(X157:X171)</f>
        <v>0</v>
      </c>
      <c r="Y172" s="40">
        <f>SUM(Y157:Y171)</f>
        <v>0</v>
      </c>
      <c r="Z172" s="40">
        <f t="shared" si="289"/>
        <v>0</v>
      </c>
      <c r="AA172" s="237">
        <f t="shared" si="289"/>
        <v>0</v>
      </c>
      <c r="AB172" s="40">
        <f t="shared" si="289"/>
        <v>0</v>
      </c>
      <c r="AC172" s="40">
        <f>SUM(AC157:AC171)</f>
        <v>0</v>
      </c>
      <c r="AD172" s="40">
        <f>SUM(AD157:AD171)</f>
        <v>0</v>
      </c>
      <c r="AE172" s="40">
        <f>SUM(AE157:AE171)</f>
        <v>0</v>
      </c>
      <c r="AF172" s="237">
        <f t="shared" si="289"/>
        <v>0</v>
      </c>
      <c r="AG172" s="40">
        <f t="shared" ref="AG172:AQ172" si="290">SUM(AG157:AG171)</f>
        <v>0</v>
      </c>
      <c r="AH172" s="40">
        <f t="shared" si="290"/>
        <v>0</v>
      </c>
      <c r="AI172" s="40">
        <f t="shared" si="290"/>
        <v>0</v>
      </c>
      <c r="AJ172" s="40">
        <f t="shared" si="290"/>
        <v>0</v>
      </c>
      <c r="AK172" s="237">
        <f t="shared" si="290"/>
        <v>0</v>
      </c>
      <c r="AL172" s="40">
        <f t="shared" si="290"/>
        <v>0</v>
      </c>
      <c r="AM172" s="40">
        <f t="shared" si="290"/>
        <v>0</v>
      </c>
      <c r="AN172" s="40">
        <f t="shared" si="290"/>
        <v>0</v>
      </c>
      <c r="AO172" s="40">
        <f t="shared" si="290"/>
        <v>0</v>
      </c>
      <c r="AP172" s="237">
        <f t="shared" si="290"/>
        <v>0</v>
      </c>
      <c r="AQ172" s="40">
        <f t="shared" si="290"/>
        <v>0</v>
      </c>
      <c r="AR172" s="40">
        <f t="shared" ref="AR172:AW172" si="291">SUM(AR157:AR171)</f>
        <v>0</v>
      </c>
      <c r="AS172" s="40">
        <f t="shared" si="291"/>
        <v>0</v>
      </c>
      <c r="AT172" s="40">
        <f t="shared" si="291"/>
        <v>0</v>
      </c>
      <c r="AU172" s="237">
        <f t="shared" si="291"/>
        <v>0</v>
      </c>
      <c r="AV172" s="40">
        <f t="shared" si="291"/>
        <v>0</v>
      </c>
      <c r="AW172" s="40">
        <f t="shared" si="291"/>
        <v>0</v>
      </c>
      <c r="AX172" s="40">
        <f t="shared" ref="AX172:BG172" si="292">SUM(AX157:AX171)</f>
        <v>0</v>
      </c>
      <c r="AY172" s="40">
        <f t="shared" si="292"/>
        <v>0</v>
      </c>
      <c r="AZ172" s="237">
        <f t="shared" si="292"/>
        <v>0</v>
      </c>
      <c r="BA172" s="40">
        <f t="shared" si="292"/>
        <v>0</v>
      </c>
      <c r="BB172" s="40">
        <f t="shared" si="292"/>
        <v>0</v>
      </c>
      <c r="BC172" s="40">
        <f t="shared" si="292"/>
        <v>0</v>
      </c>
      <c r="BD172" s="40">
        <f t="shared" si="292"/>
        <v>0</v>
      </c>
      <c r="BE172" s="237">
        <f t="shared" si="292"/>
        <v>0</v>
      </c>
      <c r="BF172" s="40">
        <f t="shared" si="292"/>
        <v>0</v>
      </c>
      <c r="BG172" s="40">
        <f t="shared" si="292"/>
        <v>0</v>
      </c>
      <c r="BH172" s="40">
        <f t="shared" ref="BH172:BT172" si="293">SUM(BH157:BH171)</f>
        <v>0</v>
      </c>
      <c r="BI172" s="40">
        <f t="shared" si="293"/>
        <v>0</v>
      </c>
      <c r="BJ172" s="237">
        <f t="shared" si="293"/>
        <v>0</v>
      </c>
      <c r="BK172" s="40">
        <f t="shared" si="293"/>
        <v>0</v>
      </c>
      <c r="BL172" s="40">
        <f t="shared" si="293"/>
        <v>0</v>
      </c>
      <c r="BM172" s="40">
        <f>SUM(BM157:BM171)</f>
        <v>0</v>
      </c>
      <c r="BN172" s="368">
        <f t="shared" si="293"/>
        <v>0</v>
      </c>
      <c r="BO172" s="369">
        <f t="shared" si="293"/>
        <v>0</v>
      </c>
      <c r="BP172" s="368">
        <f t="shared" si="293"/>
        <v>0</v>
      </c>
      <c r="BQ172" s="368">
        <f t="shared" si="293"/>
        <v>0</v>
      </c>
      <c r="BR172" s="368">
        <f t="shared" si="293"/>
        <v>0</v>
      </c>
      <c r="BS172" s="368">
        <f t="shared" si="293"/>
        <v>0</v>
      </c>
      <c r="BT172" s="369">
        <f t="shared" si="293"/>
        <v>0</v>
      </c>
    </row>
    <row r="173" spans="1:72" s="182" customFormat="1" ht="13">
      <c r="A173" s="676">
        <f t="shared" si="265"/>
        <v>167</v>
      </c>
      <c r="E173" s="171"/>
      <c r="F173" s="171"/>
      <c r="G173" s="171"/>
      <c r="H173" s="40"/>
      <c r="I173" s="40"/>
      <c r="J173" s="40"/>
      <c r="K173" s="40"/>
      <c r="L173" s="171"/>
      <c r="M173" s="40"/>
      <c r="N173" s="40"/>
      <c r="O173" s="40"/>
      <c r="P173" s="40"/>
      <c r="Q173" s="171"/>
      <c r="R173" s="40"/>
      <c r="S173" s="40"/>
      <c r="T173" s="40"/>
      <c r="U173" s="40"/>
      <c r="V173" s="171"/>
      <c r="W173" s="40"/>
      <c r="X173" s="40"/>
      <c r="Y173" s="40"/>
      <c r="Z173" s="40"/>
      <c r="AA173" s="171"/>
      <c r="AB173" s="40"/>
      <c r="AC173" s="40"/>
      <c r="AD173" s="40"/>
      <c r="AE173" s="40"/>
      <c r="AF173" s="171"/>
      <c r="AG173" s="40"/>
      <c r="AH173" s="40"/>
      <c r="AI173" s="40"/>
      <c r="AJ173" s="40"/>
      <c r="AK173" s="171"/>
      <c r="AL173" s="40"/>
      <c r="AM173" s="40"/>
      <c r="AN173" s="40"/>
      <c r="AO173" s="40"/>
      <c r="AP173" s="171"/>
      <c r="AQ173" s="40"/>
      <c r="AR173" s="40"/>
      <c r="AS173" s="40"/>
      <c r="AT173" s="40"/>
      <c r="AU173" s="171"/>
      <c r="AV173" s="40"/>
      <c r="AW173" s="40"/>
      <c r="AX173" s="40"/>
      <c r="AY173" s="40"/>
      <c r="AZ173" s="171"/>
      <c r="BA173" s="40"/>
      <c r="BB173" s="40"/>
      <c r="BC173" s="40"/>
      <c r="BD173" s="40"/>
      <c r="BE173" s="171"/>
      <c r="BF173" s="40"/>
      <c r="BG173" s="40"/>
      <c r="BH173" s="40"/>
      <c r="BI173" s="40"/>
      <c r="BJ173" s="171"/>
      <c r="BK173" s="40"/>
      <c r="BL173" s="40"/>
      <c r="BM173" s="40"/>
      <c r="BN173" s="368"/>
      <c r="BO173" s="375"/>
      <c r="BP173" s="368"/>
      <c r="BQ173" s="368"/>
      <c r="BR173" s="368"/>
      <c r="BS173" s="368"/>
      <c r="BT173" s="375"/>
    </row>
    <row r="174" spans="1:72" s="182" customFormat="1" ht="13">
      <c r="A174" s="676">
        <f t="shared" si="265"/>
        <v>168</v>
      </c>
      <c r="B174" s="216" t="s">
        <v>268</v>
      </c>
      <c r="E174" s="171"/>
      <c r="F174" s="171"/>
      <c r="G174" s="171"/>
      <c r="H174" s="40"/>
      <c r="I174" s="40"/>
      <c r="J174" s="40"/>
      <c r="K174" s="269"/>
      <c r="L174" s="171"/>
      <c r="M174" s="40"/>
      <c r="N174" s="40"/>
      <c r="O174" s="40"/>
      <c r="P174" s="269"/>
      <c r="Q174" s="171"/>
      <c r="R174" s="40"/>
      <c r="S174" s="40"/>
      <c r="T174" s="40"/>
      <c r="U174" s="37"/>
      <c r="V174" s="171"/>
      <c r="W174" s="40"/>
      <c r="X174" s="40"/>
      <c r="Y174" s="40"/>
      <c r="Z174" s="37"/>
      <c r="AA174" s="171"/>
      <c r="AB174" s="40"/>
      <c r="AC174" s="40"/>
      <c r="AD174" s="40"/>
      <c r="AE174" s="37"/>
      <c r="AF174" s="171">
        <f>SUM(AB174:AE174)</f>
        <v>0</v>
      </c>
      <c r="AG174" s="40"/>
      <c r="AH174" s="40"/>
      <c r="AI174" s="40"/>
      <c r="AJ174" s="37"/>
      <c r="AK174" s="171">
        <f>SUM(AG174:AJ174)</f>
        <v>0</v>
      </c>
      <c r="AL174" s="40"/>
      <c r="AM174" s="40"/>
      <c r="AN174" s="40"/>
      <c r="AO174" s="37"/>
      <c r="AP174" s="171">
        <f>SUM(AL174:AO174)</f>
        <v>0</v>
      </c>
      <c r="AQ174" s="40"/>
      <c r="AR174" s="40"/>
      <c r="AS174" s="40"/>
      <c r="AT174" s="37"/>
      <c r="AU174" s="171">
        <f>SUM(AQ174:AT174)</f>
        <v>0</v>
      </c>
      <c r="AV174" s="40"/>
      <c r="AW174" s="40"/>
      <c r="AX174" s="40"/>
      <c r="AY174" s="37"/>
      <c r="AZ174" s="171">
        <f>SUM(AV174:AY174)</f>
        <v>0</v>
      </c>
      <c r="BA174" s="40"/>
      <c r="BB174" s="40"/>
      <c r="BC174" s="40"/>
      <c r="BD174" s="37"/>
      <c r="BE174" s="171">
        <f>SUM(BA174:BD174)</f>
        <v>0</v>
      </c>
      <c r="BF174" s="40"/>
      <c r="BG174" s="40"/>
      <c r="BH174" s="40"/>
      <c r="BI174" s="37"/>
      <c r="BJ174" s="171">
        <f>SUM(BF174:BI174)</f>
        <v>0</v>
      </c>
      <c r="BK174" s="40"/>
      <c r="BL174" s="40"/>
      <c r="BM174" s="40"/>
      <c r="BN174" s="368">
        <v>0</v>
      </c>
      <c r="BO174" s="375">
        <f>SUM(BK174:BN174)</f>
        <v>0</v>
      </c>
      <c r="BP174" s="368">
        <v>0</v>
      </c>
      <c r="BQ174" s="368">
        <v>0</v>
      </c>
      <c r="BR174" s="368">
        <v>0</v>
      </c>
      <c r="BS174" s="368">
        <v>0</v>
      </c>
      <c r="BT174" s="375">
        <f>SUM(BP174:BS174)</f>
        <v>0</v>
      </c>
    </row>
    <row r="175" spans="1:72" s="182" customFormat="1" ht="13">
      <c r="A175" s="676">
        <f t="shared" si="265"/>
        <v>169</v>
      </c>
      <c r="B175" s="216" t="s">
        <v>269</v>
      </c>
      <c r="E175" s="171"/>
      <c r="F175" s="171"/>
      <c r="G175" s="171"/>
      <c r="H175" s="40"/>
      <c r="I175" s="40"/>
      <c r="J175" s="40"/>
      <c r="K175" s="269"/>
      <c r="L175" s="171"/>
      <c r="M175" s="40"/>
      <c r="N175" s="40"/>
      <c r="O175" s="40"/>
      <c r="P175" s="269"/>
      <c r="Q175" s="171"/>
      <c r="R175" s="40"/>
      <c r="S175" s="40"/>
      <c r="T175" s="40"/>
      <c r="U175" s="37"/>
      <c r="V175" s="171"/>
      <c r="W175" s="40"/>
      <c r="X175" s="40"/>
      <c r="Y175" s="40"/>
      <c r="Z175" s="37"/>
      <c r="AA175" s="171"/>
      <c r="AB175" s="40"/>
      <c r="AC175" s="40"/>
      <c r="AD175" s="40"/>
      <c r="AE175" s="37"/>
      <c r="AF175" s="171">
        <v>0</v>
      </c>
      <c r="AG175" s="40"/>
      <c r="AH175" s="40"/>
      <c r="AI175" s="40"/>
      <c r="AJ175" s="37"/>
      <c r="AK175" s="171">
        <v>0</v>
      </c>
      <c r="AL175" s="40"/>
      <c r="AM175" s="40"/>
      <c r="AN175" s="40"/>
      <c r="AO175" s="37"/>
      <c r="AP175" s="171">
        <v>0</v>
      </c>
      <c r="AQ175" s="40"/>
      <c r="AR175" s="40"/>
      <c r="AS175" s="40"/>
      <c r="AT175" s="37"/>
      <c r="AU175" s="171">
        <v>0</v>
      </c>
      <c r="AV175" s="40"/>
      <c r="AW175" s="40"/>
      <c r="AX175" s="40"/>
      <c r="AY175" s="37"/>
      <c r="AZ175" s="171">
        <v>0</v>
      </c>
      <c r="BA175" s="40"/>
      <c r="BB175" s="40"/>
      <c r="BC175" s="40"/>
      <c r="BD175" s="37"/>
      <c r="BE175" s="171">
        <v>0</v>
      </c>
      <c r="BF175" s="40"/>
      <c r="BG175" s="40"/>
      <c r="BH175" s="40"/>
      <c r="BI175" s="37"/>
      <c r="BJ175" s="171">
        <v>0</v>
      </c>
      <c r="BK175" s="40"/>
      <c r="BL175" s="40"/>
      <c r="BM175" s="40"/>
      <c r="BN175" s="368">
        <v>0</v>
      </c>
      <c r="BO175" s="375">
        <v>0</v>
      </c>
      <c r="BP175" s="368">
        <v>0</v>
      </c>
      <c r="BQ175" s="368">
        <v>0</v>
      </c>
      <c r="BR175" s="368">
        <v>0</v>
      </c>
      <c r="BS175" s="368">
        <v>0</v>
      </c>
      <c r="BT175" s="375">
        <v>0</v>
      </c>
    </row>
    <row r="176" spans="1:72" s="182" customFormat="1" ht="13">
      <c r="A176" s="676">
        <f t="shared" si="265"/>
        <v>170</v>
      </c>
      <c r="E176" s="171"/>
      <c r="F176" s="171"/>
      <c r="G176" s="171"/>
      <c r="H176" s="40"/>
      <c r="I176" s="40"/>
      <c r="J176" s="40"/>
      <c r="K176" s="40"/>
      <c r="L176" s="171"/>
      <c r="M176" s="40"/>
      <c r="N176" s="40"/>
      <c r="O176" s="40"/>
      <c r="P176" s="40"/>
      <c r="Q176" s="171"/>
      <c r="R176" s="40"/>
      <c r="S176" s="40"/>
      <c r="T176" s="40"/>
      <c r="U176" s="40"/>
      <c r="V176" s="171"/>
      <c r="W176" s="40"/>
      <c r="X176" s="40"/>
      <c r="Y176" s="40"/>
      <c r="Z176" s="40"/>
      <c r="AA176" s="171"/>
      <c r="AB176" s="40"/>
      <c r="AC176" s="40"/>
      <c r="AD176" s="40"/>
      <c r="AE176" s="40"/>
      <c r="AF176" s="171"/>
      <c r="AG176" s="40"/>
      <c r="AH176" s="40"/>
      <c r="AI176" s="40"/>
      <c r="AJ176" s="40"/>
      <c r="AK176" s="171"/>
      <c r="AL176" s="40"/>
      <c r="AM176" s="40"/>
      <c r="AN176" s="40"/>
      <c r="AO176" s="40"/>
      <c r="AP176" s="171"/>
      <c r="AQ176" s="40"/>
      <c r="AR176" s="40"/>
      <c r="AS176" s="40"/>
      <c r="AT176" s="40"/>
      <c r="AU176" s="171"/>
      <c r="AV176" s="40"/>
      <c r="AW176" s="40"/>
      <c r="AX176" s="40"/>
      <c r="AY176" s="40"/>
      <c r="AZ176" s="171"/>
      <c r="BA176" s="40"/>
      <c r="BB176" s="40"/>
      <c r="BC176" s="40"/>
      <c r="BD176" s="40"/>
      <c r="BE176" s="171"/>
      <c r="BF176" s="40"/>
      <c r="BG176" s="40"/>
      <c r="BH176" s="40"/>
      <c r="BI176" s="40"/>
      <c r="BJ176" s="171"/>
      <c r="BK176" s="40"/>
      <c r="BL176" s="40"/>
      <c r="BM176" s="40"/>
      <c r="BN176" s="368"/>
      <c r="BO176" s="375"/>
      <c r="BP176" s="368"/>
      <c r="BQ176" s="368"/>
      <c r="BR176" s="368"/>
      <c r="BS176" s="368"/>
      <c r="BT176" s="375"/>
    </row>
    <row r="177" spans="1:72" s="182" customFormat="1" ht="13">
      <c r="A177" s="676">
        <f t="shared" si="265"/>
        <v>171</v>
      </c>
      <c r="B177" s="183" t="s">
        <v>175</v>
      </c>
      <c r="E177" s="237">
        <f>E147+E172+E174+E175+E154</f>
        <v>0</v>
      </c>
      <c r="F177" s="237">
        <f t="shared" ref="F177:AJ177" si="294">F147+F172+F174+F175+F154</f>
        <v>0</v>
      </c>
      <c r="G177" s="237">
        <f t="shared" si="294"/>
        <v>0</v>
      </c>
      <c r="H177" s="40">
        <f t="shared" si="294"/>
        <v>0</v>
      </c>
      <c r="I177" s="40">
        <f t="shared" si="294"/>
        <v>0</v>
      </c>
      <c r="J177" s="40">
        <f t="shared" si="294"/>
        <v>0</v>
      </c>
      <c r="K177" s="40">
        <f t="shared" si="294"/>
        <v>0</v>
      </c>
      <c r="L177" s="237">
        <f t="shared" si="294"/>
        <v>0</v>
      </c>
      <c r="M177" s="40">
        <f t="shared" si="294"/>
        <v>0</v>
      </c>
      <c r="N177" s="40">
        <f t="shared" si="294"/>
        <v>0</v>
      </c>
      <c r="O177" s="40">
        <f t="shared" si="294"/>
        <v>0</v>
      </c>
      <c r="P177" s="40">
        <f t="shared" si="294"/>
        <v>0</v>
      </c>
      <c r="Q177" s="237">
        <f t="shared" si="294"/>
        <v>0</v>
      </c>
      <c r="R177" s="40">
        <f t="shared" si="294"/>
        <v>0</v>
      </c>
      <c r="S177" s="40">
        <f t="shared" si="294"/>
        <v>0</v>
      </c>
      <c r="T177" s="40">
        <f t="shared" si="294"/>
        <v>0</v>
      </c>
      <c r="U177" s="40">
        <f t="shared" si="294"/>
        <v>0</v>
      </c>
      <c r="V177" s="237">
        <f t="shared" si="294"/>
        <v>0</v>
      </c>
      <c r="W177" s="40">
        <f t="shared" si="294"/>
        <v>0</v>
      </c>
      <c r="X177" s="40">
        <f t="shared" ref="X177:AD177" si="295">X147+X172+X174+X175+X154</f>
        <v>0</v>
      </c>
      <c r="Y177" s="40">
        <f t="shared" si="295"/>
        <v>0</v>
      </c>
      <c r="Z177" s="40">
        <f t="shared" si="295"/>
        <v>0</v>
      </c>
      <c r="AA177" s="237">
        <f t="shared" si="295"/>
        <v>0</v>
      </c>
      <c r="AB177" s="40">
        <f t="shared" si="295"/>
        <v>0</v>
      </c>
      <c r="AC177" s="40">
        <f t="shared" si="295"/>
        <v>0</v>
      </c>
      <c r="AD177" s="40">
        <f t="shared" si="295"/>
        <v>0</v>
      </c>
      <c r="AE177" s="40">
        <f>AE147+AE172+AE174+AE175+AE154</f>
        <v>0</v>
      </c>
      <c r="AF177" s="237">
        <f t="shared" si="294"/>
        <v>0</v>
      </c>
      <c r="AG177" s="40">
        <f t="shared" si="294"/>
        <v>0</v>
      </c>
      <c r="AH177" s="40">
        <f t="shared" si="294"/>
        <v>0</v>
      </c>
      <c r="AI177" s="40">
        <f t="shared" si="294"/>
        <v>0</v>
      </c>
      <c r="AJ177" s="40">
        <f t="shared" si="294"/>
        <v>0</v>
      </c>
      <c r="AK177" s="237">
        <f t="shared" ref="AK177:AP177" si="296">AK147+AK172+AK174+AK175+AK154</f>
        <v>0</v>
      </c>
      <c r="AL177" s="40">
        <f t="shared" si="296"/>
        <v>0</v>
      </c>
      <c r="AM177" s="40">
        <f t="shared" si="296"/>
        <v>0</v>
      </c>
      <c r="AN177" s="40">
        <f t="shared" si="296"/>
        <v>0</v>
      </c>
      <c r="AO177" s="40">
        <f t="shared" si="296"/>
        <v>0</v>
      </c>
      <c r="AP177" s="237">
        <f t="shared" si="296"/>
        <v>0</v>
      </c>
      <c r="AQ177" s="40">
        <f>AQ147+AQ172+AQ174+AQ175+AQ154</f>
        <v>0</v>
      </c>
      <c r="AR177" s="40">
        <f>AR147+AR172+AR174+AR175+AR154</f>
        <v>0</v>
      </c>
      <c r="AS177" s="40">
        <f>AS147+AS172+AS174+AS175+AS154</f>
        <v>0</v>
      </c>
      <c r="AT177" s="40">
        <f>AT147+AT172+AT174+AT175+AT154</f>
        <v>0</v>
      </c>
      <c r="AU177" s="237">
        <f>AU147+AU172+AU174+AU175+AU154</f>
        <v>0</v>
      </c>
      <c r="AV177" s="40">
        <f t="shared" ref="AV177:BA177" si="297">AV147+AV172+AV174+AV175+AV154</f>
        <v>0</v>
      </c>
      <c r="AW177" s="40">
        <f t="shared" si="297"/>
        <v>0</v>
      </c>
      <c r="AX177" s="40">
        <f t="shared" si="297"/>
        <v>0</v>
      </c>
      <c r="AY177" s="40">
        <f t="shared" si="297"/>
        <v>0</v>
      </c>
      <c r="AZ177" s="237">
        <f t="shared" si="297"/>
        <v>0</v>
      </c>
      <c r="BA177" s="40">
        <f t="shared" si="297"/>
        <v>0</v>
      </c>
      <c r="BB177" s="40">
        <f t="shared" ref="BB177:BG177" si="298">BB147+BB172+BB174+BB175+BB154</f>
        <v>0</v>
      </c>
      <c r="BC177" s="40">
        <f t="shared" si="298"/>
        <v>0</v>
      </c>
      <c r="BD177" s="40">
        <f t="shared" si="298"/>
        <v>0</v>
      </c>
      <c r="BE177" s="237">
        <f t="shared" si="298"/>
        <v>0</v>
      </c>
      <c r="BF177" s="40">
        <f t="shared" si="298"/>
        <v>0</v>
      </c>
      <c r="BG177" s="40">
        <f t="shared" si="298"/>
        <v>0</v>
      </c>
      <c r="BH177" s="40">
        <f t="shared" ref="BH177:BT177" si="299">BH147+BH172+BH174+BH175+BH154</f>
        <v>0</v>
      </c>
      <c r="BI177" s="40">
        <f t="shared" si="299"/>
        <v>0</v>
      </c>
      <c r="BJ177" s="237">
        <f t="shared" si="299"/>
        <v>0</v>
      </c>
      <c r="BK177" s="40">
        <f t="shared" si="299"/>
        <v>0</v>
      </c>
      <c r="BL177" s="40">
        <f t="shared" si="299"/>
        <v>0</v>
      </c>
      <c r="BM177" s="40">
        <f>BM147+BM172+BM174+BM175+BM154</f>
        <v>0</v>
      </c>
      <c r="BN177" s="368" t="e">
        <f t="shared" si="299"/>
        <v>#DIV/0!</v>
      </c>
      <c r="BO177" s="369" t="e">
        <f t="shared" si="299"/>
        <v>#DIV/0!</v>
      </c>
      <c r="BP177" s="368" t="e">
        <f t="shared" si="299"/>
        <v>#DIV/0!</v>
      </c>
      <c r="BQ177" s="368" t="e">
        <f t="shared" si="299"/>
        <v>#DIV/0!</v>
      </c>
      <c r="BR177" s="368" t="e">
        <f t="shared" si="299"/>
        <v>#DIV/0!</v>
      </c>
      <c r="BS177" s="368" t="e">
        <f t="shared" si="299"/>
        <v>#DIV/0!</v>
      </c>
      <c r="BT177" s="369" t="e">
        <f t="shared" si="299"/>
        <v>#DIV/0!</v>
      </c>
    </row>
    <row r="178" spans="1:72" s="182" customFormat="1" ht="13">
      <c r="A178" s="676">
        <f t="shared" si="265"/>
        <v>172</v>
      </c>
      <c r="B178" s="183" t="s">
        <v>270</v>
      </c>
      <c r="E178" s="237"/>
      <c r="F178" s="237">
        <f t="shared" ref="F178:K178" si="300">E179</f>
        <v>0</v>
      </c>
      <c r="G178" s="237">
        <f t="shared" si="300"/>
        <v>0</v>
      </c>
      <c r="H178" s="40">
        <f t="shared" si="300"/>
        <v>0</v>
      </c>
      <c r="I178" s="40">
        <f t="shared" si="300"/>
        <v>0</v>
      </c>
      <c r="J178" s="40">
        <f t="shared" si="300"/>
        <v>0</v>
      </c>
      <c r="K178" s="40">
        <f t="shared" si="300"/>
        <v>0</v>
      </c>
      <c r="L178" s="237">
        <f>K178</f>
        <v>0</v>
      </c>
      <c r="M178" s="40">
        <f>L179</f>
        <v>0</v>
      </c>
      <c r="N178" s="40">
        <f>M179</f>
        <v>0</v>
      </c>
      <c r="O178" s="40">
        <f>N179</f>
        <v>0</v>
      </c>
      <c r="P178" s="40">
        <f>O179</f>
        <v>0</v>
      </c>
      <c r="Q178" s="237">
        <f>L179</f>
        <v>0</v>
      </c>
      <c r="R178" s="40">
        <f>Q179</f>
        <v>0</v>
      </c>
      <c r="S178" s="40">
        <f>R179</f>
        <v>0</v>
      </c>
      <c r="T178" s="40">
        <f>S179</f>
        <v>0</v>
      </c>
      <c r="U178" s="40">
        <f>T179</f>
        <v>0</v>
      </c>
      <c r="V178" s="237">
        <f>Q179</f>
        <v>0</v>
      </c>
      <c r="W178" s="40">
        <f>V179</f>
        <v>0</v>
      </c>
      <c r="X178" s="40">
        <f>W179</f>
        <v>0</v>
      </c>
      <c r="Y178" s="40">
        <f>X179</f>
        <v>0</v>
      </c>
      <c r="Z178" s="40">
        <f>Y179</f>
        <v>0</v>
      </c>
      <c r="AA178" s="237">
        <f>V179</f>
        <v>0</v>
      </c>
      <c r="AB178" s="40">
        <f>AA179</f>
        <v>0</v>
      </c>
      <c r="AC178" s="40">
        <f>AB179</f>
        <v>0</v>
      </c>
      <c r="AD178" s="40">
        <f>AC179</f>
        <v>0</v>
      </c>
      <c r="AE178" s="40">
        <f>AD179</f>
        <v>0</v>
      </c>
      <c r="AF178" s="237">
        <f>AA179</f>
        <v>0</v>
      </c>
      <c r="AG178" s="40">
        <f>AF179</f>
        <v>0</v>
      </c>
      <c r="AH178" s="40">
        <f>AG179</f>
        <v>0</v>
      </c>
      <c r="AI178" s="40">
        <f>AH179</f>
        <v>0</v>
      </c>
      <c r="AJ178" s="40">
        <f>AI179</f>
        <v>0</v>
      </c>
      <c r="AK178" s="237">
        <f>AF179</f>
        <v>0</v>
      </c>
      <c r="AL178" s="40">
        <f>AK179</f>
        <v>0</v>
      </c>
      <c r="AM178" s="40">
        <f>AL179</f>
        <v>0</v>
      </c>
      <c r="AN178" s="40">
        <f>AM179</f>
        <v>0</v>
      </c>
      <c r="AO178" s="40">
        <f>AN179</f>
        <v>0</v>
      </c>
      <c r="AP178" s="237">
        <f>AK179</f>
        <v>0</v>
      </c>
      <c r="AQ178" s="40">
        <f>AP179</f>
        <v>0</v>
      </c>
      <c r="AR178" s="40">
        <f>AQ179</f>
        <v>0</v>
      </c>
      <c r="AS178" s="40">
        <f>AR179</f>
        <v>0</v>
      </c>
      <c r="AT178" s="40">
        <f>AS179</f>
        <v>0</v>
      </c>
      <c r="AU178" s="237">
        <f>AP179</f>
        <v>0</v>
      </c>
      <c r="AV178" s="40">
        <f>AU179</f>
        <v>0</v>
      </c>
      <c r="AW178" s="40">
        <f>AV179</f>
        <v>0</v>
      </c>
      <c r="AX178" s="40">
        <f>AW179</f>
        <v>0</v>
      </c>
      <c r="AY178" s="40">
        <f>AX179</f>
        <v>0</v>
      </c>
      <c r="AZ178" s="237">
        <f>AU179</f>
        <v>0</v>
      </c>
      <c r="BA178" s="40">
        <f>AZ179</f>
        <v>0</v>
      </c>
      <c r="BB178" s="40">
        <f>BA179</f>
        <v>0</v>
      </c>
      <c r="BC178" s="40">
        <f>BB179</f>
        <v>0</v>
      </c>
      <c r="BD178" s="40">
        <f>BC179</f>
        <v>0</v>
      </c>
      <c r="BE178" s="237">
        <f>AZ179</f>
        <v>0</v>
      </c>
      <c r="BF178" s="40">
        <f>BE179</f>
        <v>0</v>
      </c>
      <c r="BG178" s="40">
        <f>BF179</f>
        <v>0</v>
      </c>
      <c r="BH178" s="40">
        <f>BG179</f>
        <v>0</v>
      </c>
      <c r="BI178" s="40">
        <f>BH179</f>
        <v>0</v>
      </c>
      <c r="BJ178" s="237">
        <f>BE179</f>
        <v>0</v>
      </c>
      <c r="BK178" s="40">
        <f>BJ179</f>
        <v>0</v>
      </c>
      <c r="BL178" s="40">
        <f>BK179</f>
        <v>0</v>
      </c>
      <c r="BM178" s="40">
        <f>BL179</f>
        <v>0</v>
      </c>
      <c r="BN178" s="368">
        <f>BM179</f>
        <v>0</v>
      </c>
      <c r="BO178" s="369">
        <f>BJ179</f>
        <v>0</v>
      </c>
      <c r="BP178" s="368" t="e">
        <f>BO179</f>
        <v>#DIV/0!</v>
      </c>
      <c r="BQ178" s="368" t="e">
        <f>BP179</f>
        <v>#DIV/0!</v>
      </c>
      <c r="BR178" s="368" t="e">
        <f>BQ179</f>
        <v>#DIV/0!</v>
      </c>
      <c r="BS178" s="368" t="e">
        <f>BR179</f>
        <v>#DIV/0!</v>
      </c>
      <c r="BT178" s="369" t="e">
        <f>BO179</f>
        <v>#DIV/0!</v>
      </c>
    </row>
    <row r="179" spans="1:72" s="182" customFormat="1" ht="13">
      <c r="A179" s="676">
        <f t="shared" si="265"/>
        <v>173</v>
      </c>
      <c r="B179" s="285" t="s">
        <v>176</v>
      </c>
      <c r="C179" s="201"/>
      <c r="D179" s="201"/>
      <c r="E179" s="278"/>
      <c r="F179" s="278">
        <f>F177+F178</f>
        <v>0</v>
      </c>
      <c r="G179" s="278">
        <f t="shared" ref="G179:AB179" si="301">G177+G178</f>
        <v>0</v>
      </c>
      <c r="H179" s="277">
        <f t="shared" si="301"/>
        <v>0</v>
      </c>
      <c r="I179" s="277">
        <f t="shared" si="301"/>
        <v>0</v>
      </c>
      <c r="J179" s="277">
        <f t="shared" si="301"/>
        <v>0</v>
      </c>
      <c r="K179" s="277">
        <f t="shared" si="301"/>
        <v>0</v>
      </c>
      <c r="L179" s="278">
        <f t="shared" si="301"/>
        <v>0</v>
      </c>
      <c r="M179" s="277">
        <f t="shared" si="301"/>
        <v>0</v>
      </c>
      <c r="N179" s="277">
        <f t="shared" si="301"/>
        <v>0</v>
      </c>
      <c r="O179" s="277">
        <f t="shared" si="301"/>
        <v>0</v>
      </c>
      <c r="P179" s="277">
        <f t="shared" si="301"/>
        <v>0</v>
      </c>
      <c r="Q179" s="278">
        <f t="shared" si="301"/>
        <v>0</v>
      </c>
      <c r="R179" s="277">
        <f t="shared" si="301"/>
        <v>0</v>
      </c>
      <c r="S179" s="277">
        <f t="shared" si="301"/>
        <v>0</v>
      </c>
      <c r="T179" s="277">
        <f t="shared" si="301"/>
        <v>0</v>
      </c>
      <c r="U179" s="277">
        <f t="shared" si="301"/>
        <v>0</v>
      </c>
      <c r="V179" s="278">
        <f>V178+V177</f>
        <v>0</v>
      </c>
      <c r="W179" s="277">
        <f t="shared" si="301"/>
        <v>0</v>
      </c>
      <c r="X179" s="277">
        <f>X177+X178</f>
        <v>0</v>
      </c>
      <c r="Y179" s="277">
        <f>Y177+Y178</f>
        <v>0</v>
      </c>
      <c r="Z179" s="277">
        <f t="shared" si="301"/>
        <v>0</v>
      </c>
      <c r="AA179" s="278">
        <f>AA178+AA177</f>
        <v>0</v>
      </c>
      <c r="AB179" s="277">
        <f t="shared" si="301"/>
        <v>0</v>
      </c>
      <c r="AC179" s="277">
        <f>AC177+AC178</f>
        <v>0</v>
      </c>
      <c r="AD179" s="277">
        <f>AD177+AD178</f>
        <v>0</v>
      </c>
      <c r="AE179" s="277">
        <f>AE177+AE178</f>
        <v>0</v>
      </c>
      <c r="AF179" s="278">
        <f>AF178+AF177</f>
        <v>0</v>
      </c>
      <c r="AG179" s="277">
        <f>AG177+AG178</f>
        <v>0</v>
      </c>
      <c r="AH179" s="277">
        <f>AH177+AH178</f>
        <v>0</v>
      </c>
      <c r="AI179" s="277">
        <f>AI177+AI178</f>
        <v>0</v>
      </c>
      <c r="AJ179" s="277">
        <f>AJ177+AJ178</f>
        <v>0</v>
      </c>
      <c r="AK179" s="278">
        <f>AK178+AK177</f>
        <v>0</v>
      </c>
      <c r="AL179" s="277">
        <f>AL177+AL178</f>
        <v>0</v>
      </c>
      <c r="AM179" s="277">
        <f>AM177+AM178</f>
        <v>0</v>
      </c>
      <c r="AN179" s="277">
        <f>AN177+AN178</f>
        <v>0</v>
      </c>
      <c r="AO179" s="277">
        <f>AO177+AO178</f>
        <v>0</v>
      </c>
      <c r="AP179" s="278">
        <f>AP178+AP177</f>
        <v>0</v>
      </c>
      <c r="AQ179" s="277">
        <f>AQ177+AQ178</f>
        <v>0</v>
      </c>
      <c r="AR179" s="277">
        <f>AR177+AR178</f>
        <v>0</v>
      </c>
      <c r="AS179" s="277">
        <f>AS177+AS178</f>
        <v>0</v>
      </c>
      <c r="AT179" s="277">
        <f>AT177+AT178</f>
        <v>0</v>
      </c>
      <c r="AU179" s="278">
        <f>AU178+AU177</f>
        <v>0</v>
      </c>
      <c r="AV179" s="277">
        <f>AV177+AV178</f>
        <v>0</v>
      </c>
      <c r="AW179" s="277">
        <f>AW177+AW178</f>
        <v>0</v>
      </c>
      <c r="AX179" s="277">
        <f>AX177+AX178</f>
        <v>0</v>
      </c>
      <c r="AY179" s="277">
        <f>AY177+AY178</f>
        <v>0</v>
      </c>
      <c r="AZ179" s="278">
        <f>AZ178+AZ177</f>
        <v>0</v>
      </c>
      <c r="BA179" s="277">
        <f>BA177+BA178</f>
        <v>0</v>
      </c>
      <c r="BB179" s="277">
        <f>BB177+BB178</f>
        <v>0</v>
      </c>
      <c r="BC179" s="277">
        <f>BC177+BC178</f>
        <v>0</v>
      </c>
      <c r="BD179" s="277">
        <f>BD177+BD178</f>
        <v>0</v>
      </c>
      <c r="BE179" s="278">
        <f>BE178+BE177</f>
        <v>0</v>
      </c>
      <c r="BF179" s="277">
        <f>BF177+BF178</f>
        <v>0</v>
      </c>
      <c r="BG179" s="277">
        <f>BG177+BG178</f>
        <v>0</v>
      </c>
      <c r="BH179" s="277">
        <f>BH177+BH178</f>
        <v>0</v>
      </c>
      <c r="BI179" s="277">
        <f>BI177+BI178</f>
        <v>0</v>
      </c>
      <c r="BJ179" s="278">
        <f>BJ178+BJ177</f>
        <v>0</v>
      </c>
      <c r="BK179" s="277">
        <f>BK177+BK178</f>
        <v>0</v>
      </c>
      <c r="BL179" s="277">
        <f>BL177+BL178</f>
        <v>0</v>
      </c>
      <c r="BM179" s="277">
        <f>BM177+BM178</f>
        <v>0</v>
      </c>
      <c r="BN179" s="412" t="e">
        <f>BN177+BN178</f>
        <v>#DIV/0!</v>
      </c>
      <c r="BO179" s="413" t="e">
        <f>BO178+BO177</f>
        <v>#DIV/0!</v>
      </c>
      <c r="BP179" s="412" t="e">
        <f>BP177+BP178</f>
        <v>#DIV/0!</v>
      </c>
      <c r="BQ179" s="412" t="e">
        <f>BQ177+BQ178</f>
        <v>#DIV/0!</v>
      </c>
      <c r="BR179" s="412" t="e">
        <f>BR177+BR178</f>
        <v>#DIV/0!</v>
      </c>
      <c r="BS179" s="412" t="e">
        <f>BS177+BS178</f>
        <v>#DIV/0!</v>
      </c>
      <c r="BT179" s="413" t="e">
        <f>BT178+BT177</f>
        <v>#DIV/0!</v>
      </c>
    </row>
    <row r="180" spans="1:72" s="182" customFormat="1" ht="13">
      <c r="A180" s="676">
        <f t="shared" si="265"/>
        <v>174</v>
      </c>
      <c r="D180" s="33"/>
      <c r="E180" s="652">
        <f t="shared" ref="E180:AJ180" si="302">E179-E185</f>
        <v>0</v>
      </c>
      <c r="F180" s="652">
        <f t="shared" si="302"/>
        <v>0</v>
      </c>
      <c r="G180" s="652">
        <f t="shared" si="302"/>
        <v>0</v>
      </c>
      <c r="H180" s="652">
        <f t="shared" si="302"/>
        <v>0</v>
      </c>
      <c r="I180" s="652">
        <f t="shared" si="302"/>
        <v>0</v>
      </c>
      <c r="J180" s="652">
        <f t="shared" si="302"/>
        <v>0</v>
      </c>
      <c r="K180" s="652">
        <f t="shared" si="302"/>
        <v>0</v>
      </c>
      <c r="L180" s="652">
        <f t="shared" si="302"/>
        <v>0</v>
      </c>
      <c r="M180" s="652">
        <f t="shared" si="302"/>
        <v>0</v>
      </c>
      <c r="N180" s="652">
        <f t="shared" si="302"/>
        <v>0</v>
      </c>
      <c r="O180" s="652">
        <f t="shared" si="302"/>
        <v>0</v>
      </c>
      <c r="P180" s="652">
        <f t="shared" si="302"/>
        <v>0</v>
      </c>
      <c r="Q180" s="652">
        <f t="shared" si="302"/>
        <v>0</v>
      </c>
      <c r="R180" s="652">
        <f t="shared" si="302"/>
        <v>0</v>
      </c>
      <c r="S180" s="652">
        <f t="shared" si="302"/>
        <v>0</v>
      </c>
      <c r="T180" s="652">
        <f t="shared" si="302"/>
        <v>0</v>
      </c>
      <c r="U180" s="652">
        <f t="shared" si="302"/>
        <v>0</v>
      </c>
      <c r="V180" s="652">
        <f t="shared" si="302"/>
        <v>0</v>
      </c>
      <c r="W180" s="652">
        <f t="shared" si="302"/>
        <v>0</v>
      </c>
      <c r="X180" s="652">
        <f t="shared" si="302"/>
        <v>0</v>
      </c>
      <c r="Y180" s="652">
        <f t="shared" si="302"/>
        <v>0</v>
      </c>
      <c r="Z180" s="652">
        <f t="shared" si="302"/>
        <v>0</v>
      </c>
      <c r="AA180" s="652">
        <f t="shared" si="302"/>
        <v>0</v>
      </c>
      <c r="AB180" s="652">
        <f t="shared" si="302"/>
        <v>0</v>
      </c>
      <c r="AC180" s="652">
        <f t="shared" si="302"/>
        <v>0</v>
      </c>
      <c r="AD180" s="652">
        <f t="shared" si="302"/>
        <v>0</v>
      </c>
      <c r="AE180" s="652">
        <f t="shared" si="302"/>
        <v>0</v>
      </c>
      <c r="AF180" s="652">
        <f t="shared" si="302"/>
        <v>0</v>
      </c>
      <c r="AG180" s="652">
        <f t="shared" si="302"/>
        <v>0</v>
      </c>
      <c r="AH180" s="652">
        <f t="shared" si="302"/>
        <v>0</v>
      </c>
      <c r="AI180" s="652">
        <f t="shared" si="302"/>
        <v>0</v>
      </c>
      <c r="AJ180" s="652">
        <f t="shared" si="302"/>
        <v>0</v>
      </c>
      <c r="AK180" s="652">
        <f t="shared" ref="AK180:BP180" si="303">AK179-AK185</f>
        <v>0</v>
      </c>
      <c r="AL180" s="652">
        <f t="shared" si="303"/>
        <v>0</v>
      </c>
      <c r="AM180" s="652">
        <f t="shared" si="303"/>
        <v>0</v>
      </c>
      <c r="AN180" s="652">
        <f t="shared" si="303"/>
        <v>0</v>
      </c>
      <c r="AO180" s="652">
        <f t="shared" si="303"/>
        <v>0</v>
      </c>
      <c r="AP180" s="652">
        <f t="shared" si="303"/>
        <v>0</v>
      </c>
      <c r="AQ180" s="652">
        <f t="shared" si="303"/>
        <v>0</v>
      </c>
      <c r="AR180" s="652">
        <f t="shared" si="303"/>
        <v>0</v>
      </c>
      <c r="AS180" s="652">
        <f t="shared" si="303"/>
        <v>0</v>
      </c>
      <c r="AT180" s="652">
        <f t="shared" si="303"/>
        <v>0</v>
      </c>
      <c r="AU180" s="652">
        <f t="shared" si="303"/>
        <v>0</v>
      </c>
      <c r="AV180" s="652">
        <f t="shared" si="303"/>
        <v>0</v>
      </c>
      <c r="AW180" s="652">
        <f t="shared" si="303"/>
        <v>0</v>
      </c>
      <c r="AX180" s="652">
        <f t="shared" si="303"/>
        <v>0</v>
      </c>
      <c r="AY180" s="652">
        <f t="shared" si="303"/>
        <v>0</v>
      </c>
      <c r="AZ180" s="652">
        <f t="shared" si="303"/>
        <v>0</v>
      </c>
      <c r="BA180" s="652">
        <f t="shared" si="303"/>
        <v>0</v>
      </c>
      <c r="BB180" s="652">
        <f t="shared" si="303"/>
        <v>0</v>
      </c>
      <c r="BC180" s="652">
        <f t="shared" si="303"/>
        <v>0</v>
      </c>
      <c r="BD180" s="652">
        <f t="shared" si="303"/>
        <v>0</v>
      </c>
      <c r="BE180" s="652">
        <f t="shared" si="303"/>
        <v>0</v>
      </c>
      <c r="BF180" s="652">
        <f t="shared" si="303"/>
        <v>0</v>
      </c>
      <c r="BG180" s="652">
        <f t="shared" si="303"/>
        <v>0</v>
      </c>
      <c r="BH180" s="652">
        <f t="shared" si="303"/>
        <v>0</v>
      </c>
      <c r="BI180" s="652">
        <f t="shared" si="303"/>
        <v>0</v>
      </c>
      <c r="BJ180" s="652">
        <f t="shared" si="303"/>
        <v>0</v>
      </c>
      <c r="BK180" s="652">
        <f t="shared" si="303"/>
        <v>0</v>
      </c>
      <c r="BL180" s="652">
        <f>BL179-BL185</f>
        <v>0</v>
      </c>
      <c r="BM180" s="652">
        <f>BM179-BM185</f>
        <v>0</v>
      </c>
      <c r="BN180" s="423" t="e">
        <f t="shared" si="303"/>
        <v>#DIV/0!</v>
      </c>
      <c r="BO180" s="423" t="e">
        <f t="shared" si="303"/>
        <v>#DIV/0!</v>
      </c>
      <c r="BP180" s="423" t="e">
        <f t="shared" si="303"/>
        <v>#DIV/0!</v>
      </c>
      <c r="BQ180" s="423" t="e">
        <f>BQ179-BQ185</f>
        <v>#DIV/0!</v>
      </c>
      <c r="BR180" s="423" t="e">
        <f>BR179-BR185</f>
        <v>#DIV/0!</v>
      </c>
      <c r="BS180" s="423" t="e">
        <f>BS179-BS185</f>
        <v>#DIV/0!</v>
      </c>
      <c r="BT180" s="423" t="e">
        <f>BT179-BT185</f>
        <v>#DIV/0!</v>
      </c>
    </row>
    <row r="181" spans="1:72" s="182" customFormat="1" ht="13">
      <c r="A181" s="676">
        <f t="shared" si="265"/>
        <v>175</v>
      </c>
      <c r="D181" s="33"/>
      <c r="E181" s="653"/>
      <c r="F181" s="653"/>
      <c r="G181" s="653"/>
      <c r="H181" s="653"/>
      <c r="I181" s="653"/>
      <c r="J181" s="653"/>
      <c r="K181" s="654"/>
      <c r="L181" s="653"/>
      <c r="M181" s="292"/>
      <c r="N181" s="292"/>
      <c r="O181" s="292"/>
      <c r="P181" s="223"/>
      <c r="Q181" s="292"/>
      <c r="R181" s="292"/>
      <c r="S181" s="223"/>
      <c r="T181" s="655"/>
      <c r="U181" s="223"/>
      <c r="V181" s="292"/>
      <c r="W181" s="223"/>
      <c r="X181" s="223"/>
      <c r="Y181" s="655"/>
      <c r="Z181" s="223"/>
      <c r="AA181" s="292"/>
      <c r="AB181" s="223"/>
      <c r="AC181" s="223"/>
      <c r="AD181" s="655"/>
      <c r="AE181" s="223"/>
      <c r="AF181" s="292"/>
      <c r="AG181" s="223"/>
      <c r="AH181" s="223"/>
      <c r="AI181" s="655"/>
      <c r="AJ181" s="223"/>
      <c r="AK181" s="292"/>
      <c r="AL181" s="223"/>
      <c r="AM181" s="223"/>
      <c r="AN181" s="655"/>
      <c r="AO181" s="223"/>
      <c r="AP181" s="292"/>
      <c r="AQ181" s="223"/>
      <c r="AR181" s="223"/>
      <c r="AS181" s="655"/>
      <c r="AT181" s="223"/>
      <c r="AU181" s="292"/>
      <c r="AV181" s="223"/>
      <c r="AW181" s="223"/>
      <c r="AX181" s="655"/>
      <c r="AY181" s="223"/>
      <c r="AZ181" s="292"/>
      <c r="BA181" s="223"/>
      <c r="BB181" s="223"/>
      <c r="BC181" s="655"/>
      <c r="BD181" s="223"/>
      <c r="BE181" s="292"/>
      <c r="BF181" s="223"/>
      <c r="BG181" s="223"/>
      <c r="BH181" s="223"/>
      <c r="BI181" s="223"/>
      <c r="BJ181" s="292"/>
      <c r="BK181" s="223"/>
      <c r="BL181" s="223"/>
      <c r="BM181" s="223"/>
      <c r="BN181" s="424"/>
      <c r="BO181" s="425"/>
      <c r="BP181" s="424"/>
      <c r="BQ181" s="424"/>
      <c r="BR181" s="424"/>
      <c r="BS181" s="424"/>
      <c r="BT181" s="425"/>
    </row>
    <row r="182" spans="1:72" s="182" customFormat="1" ht="18">
      <c r="A182" s="676">
        <f t="shared" si="265"/>
        <v>176</v>
      </c>
      <c r="B182" s="205" t="str">
        <f>B2</f>
        <v>Name of Company</v>
      </c>
      <c r="C182" s="232"/>
      <c r="D182" s="232"/>
      <c r="E182" s="233"/>
      <c r="F182" s="233"/>
      <c r="G182" s="233"/>
      <c r="H182" s="233"/>
      <c r="I182" s="233"/>
      <c r="J182" s="233"/>
      <c r="K182" s="233"/>
      <c r="L182" s="233"/>
      <c r="M182" s="233"/>
      <c r="N182" s="233"/>
      <c r="O182" s="233"/>
      <c r="P182" s="233"/>
      <c r="Q182" s="233"/>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c r="AZ182" s="164"/>
      <c r="BA182" s="164"/>
      <c r="BB182" s="164"/>
      <c r="BC182" s="164"/>
      <c r="BD182" s="164"/>
      <c r="BE182" s="164"/>
      <c r="BF182" s="164"/>
      <c r="BG182" s="164"/>
      <c r="BH182" s="164"/>
      <c r="BI182" s="164"/>
      <c r="BJ182" s="164"/>
      <c r="BK182" s="164"/>
      <c r="BL182" s="164"/>
      <c r="BM182" s="164"/>
      <c r="BN182" s="414"/>
      <c r="BO182" s="414"/>
      <c r="BP182" s="414"/>
      <c r="BQ182" s="414"/>
      <c r="BR182" s="414"/>
      <c r="BS182" s="414"/>
      <c r="BT182" s="414"/>
    </row>
    <row r="183" spans="1:72" s="182" customFormat="1" ht="13">
      <c r="A183" s="676">
        <f t="shared" si="265"/>
        <v>177</v>
      </c>
      <c r="B183" s="224" t="s">
        <v>271</v>
      </c>
      <c r="E183" s="253" t="str">
        <f>+E$5</f>
        <v>FYE</v>
      </c>
      <c r="F183" s="253" t="str">
        <f t="shared" ref="F183:BQ183" si="304">+F$5</f>
        <v>FYE</v>
      </c>
      <c r="G183" s="253" t="str">
        <f t="shared" si="304"/>
        <v>FYE</v>
      </c>
      <c r="H183" s="634">
        <f t="shared" si="304"/>
        <v>1</v>
      </c>
      <c r="I183" s="634">
        <f t="shared" si="304"/>
        <v>2</v>
      </c>
      <c r="J183" s="634">
        <f t="shared" si="304"/>
        <v>3</v>
      </c>
      <c r="K183" s="634">
        <f t="shared" si="304"/>
        <v>4</v>
      </c>
      <c r="L183" s="253" t="str">
        <f t="shared" si="304"/>
        <v>FYE</v>
      </c>
      <c r="M183" s="634">
        <f t="shared" si="304"/>
        <v>1</v>
      </c>
      <c r="N183" s="634">
        <f t="shared" si="304"/>
        <v>2</v>
      </c>
      <c r="O183" s="634">
        <f t="shared" si="304"/>
        <v>3</v>
      </c>
      <c r="P183" s="634">
        <f t="shared" si="304"/>
        <v>4</v>
      </c>
      <c r="Q183" s="253" t="str">
        <f t="shared" si="304"/>
        <v>FYE</v>
      </c>
      <c r="R183" s="634">
        <f t="shared" si="304"/>
        <v>1</v>
      </c>
      <c r="S183" s="634">
        <f t="shared" si="304"/>
        <v>2</v>
      </c>
      <c r="T183" s="634">
        <f t="shared" si="304"/>
        <v>3</v>
      </c>
      <c r="U183" s="634">
        <f t="shared" si="304"/>
        <v>4</v>
      </c>
      <c r="V183" s="253" t="str">
        <f t="shared" si="304"/>
        <v>FYE</v>
      </c>
      <c r="W183" s="634">
        <f t="shared" si="304"/>
        <v>1</v>
      </c>
      <c r="X183" s="634">
        <f t="shared" si="304"/>
        <v>2</v>
      </c>
      <c r="Y183" s="634">
        <f t="shared" si="304"/>
        <v>3</v>
      </c>
      <c r="Z183" s="634">
        <f t="shared" si="304"/>
        <v>4</v>
      </c>
      <c r="AA183" s="253" t="str">
        <f t="shared" si="304"/>
        <v>FYE</v>
      </c>
      <c r="AB183" s="634">
        <f t="shared" si="304"/>
        <v>1</v>
      </c>
      <c r="AC183" s="634">
        <f t="shared" si="304"/>
        <v>2</v>
      </c>
      <c r="AD183" s="634">
        <f t="shared" si="304"/>
        <v>3</v>
      </c>
      <c r="AE183" s="634">
        <f t="shared" si="304"/>
        <v>4</v>
      </c>
      <c r="AF183" s="253" t="str">
        <f t="shared" si="304"/>
        <v>FYE</v>
      </c>
      <c r="AG183" s="634">
        <f t="shared" si="304"/>
        <v>1</v>
      </c>
      <c r="AH183" s="634">
        <f t="shared" si="304"/>
        <v>2</v>
      </c>
      <c r="AI183" s="634">
        <f t="shared" si="304"/>
        <v>3</v>
      </c>
      <c r="AJ183" s="634">
        <f t="shared" si="304"/>
        <v>4</v>
      </c>
      <c r="AK183" s="253" t="str">
        <f t="shared" si="304"/>
        <v>FYE</v>
      </c>
      <c r="AL183" s="634">
        <f t="shared" si="304"/>
        <v>1</v>
      </c>
      <c r="AM183" s="634">
        <f t="shared" si="304"/>
        <v>2</v>
      </c>
      <c r="AN183" s="634">
        <f t="shared" si="304"/>
        <v>3</v>
      </c>
      <c r="AO183" s="634">
        <f t="shared" si="304"/>
        <v>4</v>
      </c>
      <c r="AP183" s="253" t="str">
        <f t="shared" si="304"/>
        <v>FYE</v>
      </c>
      <c r="AQ183" s="634">
        <f t="shared" si="304"/>
        <v>1</v>
      </c>
      <c r="AR183" s="634">
        <f t="shared" si="304"/>
        <v>2</v>
      </c>
      <c r="AS183" s="634">
        <f t="shared" si="304"/>
        <v>3</v>
      </c>
      <c r="AT183" s="634">
        <f t="shared" si="304"/>
        <v>4</v>
      </c>
      <c r="AU183" s="253" t="str">
        <f t="shared" si="304"/>
        <v>FYE</v>
      </c>
      <c r="AV183" s="634">
        <f t="shared" si="304"/>
        <v>1</v>
      </c>
      <c r="AW183" s="634">
        <f t="shared" si="304"/>
        <v>2</v>
      </c>
      <c r="AX183" s="634">
        <f t="shared" si="304"/>
        <v>3</v>
      </c>
      <c r="AY183" s="634">
        <f t="shared" si="304"/>
        <v>4</v>
      </c>
      <c r="AZ183" s="253" t="str">
        <f t="shared" si="304"/>
        <v>FYE</v>
      </c>
      <c r="BA183" s="634">
        <f t="shared" si="304"/>
        <v>1</v>
      </c>
      <c r="BB183" s="634">
        <f t="shared" si="304"/>
        <v>2</v>
      </c>
      <c r="BC183" s="634">
        <f t="shared" si="304"/>
        <v>3</v>
      </c>
      <c r="BD183" s="634">
        <f t="shared" si="304"/>
        <v>4</v>
      </c>
      <c r="BE183" s="253" t="str">
        <f t="shared" si="304"/>
        <v>FYE</v>
      </c>
      <c r="BF183" s="634">
        <f t="shared" si="304"/>
        <v>1</v>
      </c>
      <c r="BG183" s="634">
        <f t="shared" si="304"/>
        <v>2</v>
      </c>
      <c r="BH183" s="634">
        <f t="shared" si="304"/>
        <v>3</v>
      </c>
      <c r="BI183" s="634">
        <f t="shared" si="304"/>
        <v>4</v>
      </c>
      <c r="BJ183" s="253" t="str">
        <f t="shared" si="304"/>
        <v>FYE</v>
      </c>
      <c r="BK183" s="634">
        <f t="shared" si="304"/>
        <v>1</v>
      </c>
      <c r="BL183" s="634">
        <f t="shared" si="304"/>
        <v>2</v>
      </c>
      <c r="BM183" s="634">
        <f t="shared" si="304"/>
        <v>3</v>
      </c>
      <c r="BN183" s="635">
        <f t="shared" si="304"/>
        <v>4</v>
      </c>
      <c r="BO183" s="361" t="str">
        <f t="shared" si="304"/>
        <v>FYE</v>
      </c>
      <c r="BP183" s="635">
        <f t="shared" si="304"/>
        <v>2</v>
      </c>
      <c r="BQ183" s="635">
        <f t="shared" si="304"/>
        <v>2</v>
      </c>
      <c r="BR183" s="635">
        <f>+BR$5</f>
        <v>2</v>
      </c>
      <c r="BS183" s="635">
        <f>+BS$5</f>
        <v>2</v>
      </c>
      <c r="BT183" s="361" t="str">
        <f>+BT$5</f>
        <v>FYE</v>
      </c>
    </row>
    <row r="184" spans="1:72" s="182" customFormat="1" ht="13">
      <c r="A184" s="676">
        <f t="shared" si="265"/>
        <v>178</v>
      </c>
      <c r="E184" s="639">
        <f t="shared" ref="E184:AJ184" si="305">E6</f>
        <v>37256</v>
      </c>
      <c r="F184" s="639">
        <f t="shared" si="305"/>
        <v>37621</v>
      </c>
      <c r="G184" s="639">
        <f t="shared" si="305"/>
        <v>37986</v>
      </c>
      <c r="H184" s="123">
        <f t="shared" si="305"/>
        <v>38077</v>
      </c>
      <c r="I184" s="123">
        <f t="shared" si="305"/>
        <v>38168</v>
      </c>
      <c r="J184" s="123">
        <f t="shared" si="305"/>
        <v>38260</v>
      </c>
      <c r="K184" s="123">
        <f t="shared" si="305"/>
        <v>38352</v>
      </c>
      <c r="L184" s="639">
        <f t="shared" si="305"/>
        <v>38352</v>
      </c>
      <c r="M184" s="123">
        <f t="shared" si="305"/>
        <v>38442</v>
      </c>
      <c r="N184" s="123">
        <f t="shared" si="305"/>
        <v>38533</v>
      </c>
      <c r="O184" s="123">
        <f t="shared" si="305"/>
        <v>38625</v>
      </c>
      <c r="P184" s="123">
        <f t="shared" si="305"/>
        <v>38717</v>
      </c>
      <c r="Q184" s="639">
        <f t="shared" si="305"/>
        <v>38717</v>
      </c>
      <c r="R184" s="123">
        <f t="shared" si="305"/>
        <v>38807</v>
      </c>
      <c r="S184" s="123">
        <f t="shared" si="305"/>
        <v>38898</v>
      </c>
      <c r="T184" s="123">
        <f t="shared" si="305"/>
        <v>38990</v>
      </c>
      <c r="U184" s="123">
        <f t="shared" si="305"/>
        <v>39082</v>
      </c>
      <c r="V184" s="639">
        <f t="shared" si="305"/>
        <v>39082</v>
      </c>
      <c r="W184" s="123">
        <f t="shared" si="305"/>
        <v>39172</v>
      </c>
      <c r="X184" s="123">
        <f t="shared" si="305"/>
        <v>39263</v>
      </c>
      <c r="Y184" s="123">
        <f t="shared" si="305"/>
        <v>39355</v>
      </c>
      <c r="Z184" s="123">
        <f t="shared" si="305"/>
        <v>39447</v>
      </c>
      <c r="AA184" s="639">
        <f t="shared" si="305"/>
        <v>39447</v>
      </c>
      <c r="AB184" s="123">
        <f t="shared" si="305"/>
        <v>39538</v>
      </c>
      <c r="AC184" s="123">
        <f t="shared" si="305"/>
        <v>39629</v>
      </c>
      <c r="AD184" s="123">
        <f t="shared" si="305"/>
        <v>39721</v>
      </c>
      <c r="AE184" s="123">
        <f t="shared" si="305"/>
        <v>39813</v>
      </c>
      <c r="AF184" s="639">
        <f t="shared" si="305"/>
        <v>39813</v>
      </c>
      <c r="AG184" s="123">
        <f t="shared" si="305"/>
        <v>39903</v>
      </c>
      <c r="AH184" s="123">
        <f t="shared" si="305"/>
        <v>39994</v>
      </c>
      <c r="AI184" s="123">
        <f t="shared" si="305"/>
        <v>40086</v>
      </c>
      <c r="AJ184" s="123">
        <f t="shared" si="305"/>
        <v>40178</v>
      </c>
      <c r="AK184" s="639">
        <f t="shared" ref="AK184:BT184" si="306">AK6</f>
        <v>40178</v>
      </c>
      <c r="AL184" s="123">
        <f t="shared" si="306"/>
        <v>40268</v>
      </c>
      <c r="AM184" s="123">
        <f t="shared" si="306"/>
        <v>40359</v>
      </c>
      <c r="AN184" s="123">
        <f t="shared" si="306"/>
        <v>40451</v>
      </c>
      <c r="AO184" s="123">
        <f t="shared" si="306"/>
        <v>40543</v>
      </c>
      <c r="AP184" s="639">
        <f t="shared" si="306"/>
        <v>40543</v>
      </c>
      <c r="AQ184" s="123">
        <f t="shared" si="306"/>
        <v>40633</v>
      </c>
      <c r="AR184" s="123">
        <f t="shared" si="306"/>
        <v>40724</v>
      </c>
      <c r="AS184" s="123">
        <f t="shared" si="306"/>
        <v>40816</v>
      </c>
      <c r="AT184" s="123">
        <f t="shared" si="306"/>
        <v>40908</v>
      </c>
      <c r="AU184" s="639">
        <f t="shared" si="306"/>
        <v>40908</v>
      </c>
      <c r="AV184" s="123">
        <f t="shared" si="306"/>
        <v>40999</v>
      </c>
      <c r="AW184" s="123">
        <f t="shared" si="306"/>
        <v>41090</v>
      </c>
      <c r="AX184" s="123">
        <f t="shared" si="306"/>
        <v>41182</v>
      </c>
      <c r="AY184" s="123">
        <f t="shared" si="306"/>
        <v>41274</v>
      </c>
      <c r="AZ184" s="639">
        <f t="shared" si="306"/>
        <v>41274</v>
      </c>
      <c r="BA184" s="123">
        <f t="shared" si="306"/>
        <v>41364</v>
      </c>
      <c r="BB184" s="123">
        <f t="shared" si="306"/>
        <v>41455</v>
      </c>
      <c r="BC184" s="123">
        <f t="shared" si="306"/>
        <v>41547</v>
      </c>
      <c r="BD184" s="123">
        <f t="shared" si="306"/>
        <v>41639</v>
      </c>
      <c r="BE184" s="639">
        <f t="shared" si="306"/>
        <v>41639</v>
      </c>
      <c r="BF184" s="123">
        <f t="shared" si="306"/>
        <v>41729</v>
      </c>
      <c r="BG184" s="123">
        <f t="shared" si="306"/>
        <v>41820</v>
      </c>
      <c r="BH184" s="123">
        <f t="shared" si="306"/>
        <v>41912</v>
      </c>
      <c r="BI184" s="123">
        <f t="shared" si="306"/>
        <v>42004</v>
      </c>
      <c r="BJ184" s="639">
        <f t="shared" si="306"/>
        <v>42004</v>
      </c>
      <c r="BK184" s="123">
        <f t="shared" si="306"/>
        <v>42094</v>
      </c>
      <c r="BL184" s="123">
        <f>BL6</f>
        <v>42185</v>
      </c>
      <c r="BM184" s="123">
        <f>BM6</f>
        <v>42277</v>
      </c>
      <c r="BN184" s="362">
        <f t="shared" si="306"/>
        <v>42369</v>
      </c>
      <c r="BO184" s="363">
        <f t="shared" si="306"/>
        <v>42369</v>
      </c>
      <c r="BP184" s="362">
        <f t="shared" si="306"/>
        <v>42460</v>
      </c>
      <c r="BQ184" s="362">
        <f t="shared" si="306"/>
        <v>42551</v>
      </c>
      <c r="BR184" s="362">
        <f t="shared" si="306"/>
        <v>42643</v>
      </c>
      <c r="BS184" s="362">
        <f t="shared" si="306"/>
        <v>42735</v>
      </c>
      <c r="BT184" s="363">
        <f t="shared" si="306"/>
        <v>42735</v>
      </c>
    </row>
    <row r="185" spans="1:72" s="182" customFormat="1" ht="13">
      <c r="A185" s="676">
        <f t="shared" si="265"/>
        <v>179</v>
      </c>
      <c r="B185" s="220" t="s">
        <v>272</v>
      </c>
      <c r="C185" s="33"/>
      <c r="D185" s="33"/>
      <c r="E185" s="286"/>
      <c r="F185" s="286"/>
      <c r="G185" s="286"/>
      <c r="H185" s="656"/>
      <c r="I185" s="656"/>
      <c r="J185" s="656"/>
      <c r="K185" s="37"/>
      <c r="L185" s="286"/>
      <c r="M185" s="656"/>
      <c r="N185" s="656"/>
      <c r="O185" s="656"/>
      <c r="P185" s="37"/>
      <c r="Q185" s="286"/>
      <c r="R185" s="656"/>
      <c r="S185" s="656"/>
      <c r="T185" s="656"/>
      <c r="U185" s="656"/>
      <c r="V185" s="286"/>
      <c r="W185" s="656"/>
      <c r="X185" s="656"/>
      <c r="Y185" s="656"/>
      <c r="Z185" s="656"/>
      <c r="AA185" s="286"/>
      <c r="AB185" s="656"/>
      <c r="AC185" s="656"/>
      <c r="AD185" s="656"/>
      <c r="AE185" s="656"/>
      <c r="AF185" s="286">
        <f>AF179</f>
        <v>0</v>
      </c>
      <c r="AG185" s="656"/>
      <c r="AH185" s="656"/>
      <c r="AI185" s="656"/>
      <c r="AJ185" s="656"/>
      <c r="AK185" s="286">
        <f>AK179</f>
        <v>0</v>
      </c>
      <c r="AL185" s="656"/>
      <c r="AM185" s="656"/>
      <c r="AN185" s="656"/>
      <c r="AO185" s="656"/>
      <c r="AP185" s="286">
        <f>AP179</f>
        <v>0</v>
      </c>
      <c r="AQ185" s="656"/>
      <c r="AR185" s="656"/>
      <c r="AS185" s="656"/>
      <c r="AT185" s="656"/>
      <c r="AU185" s="286">
        <f>AU179</f>
        <v>0</v>
      </c>
      <c r="AV185" s="656"/>
      <c r="AW185" s="656"/>
      <c r="AX185" s="656"/>
      <c r="AY185" s="656"/>
      <c r="AZ185" s="286">
        <f>AZ179</f>
        <v>0</v>
      </c>
      <c r="BA185" s="656"/>
      <c r="BB185" s="656"/>
      <c r="BC185" s="656"/>
      <c r="BD185" s="656"/>
      <c r="BE185" s="286">
        <f>BE179</f>
        <v>0</v>
      </c>
      <c r="BF185" s="656"/>
      <c r="BG185" s="656"/>
      <c r="BH185" s="656"/>
      <c r="BI185" s="656"/>
      <c r="BJ185" s="286">
        <f>BJ179</f>
        <v>0</v>
      </c>
      <c r="BK185" s="656"/>
      <c r="BL185" s="656"/>
      <c r="BM185" s="656"/>
      <c r="BN185" s="426" t="e">
        <f t="shared" ref="BN185:BT185" si="307">BN179</f>
        <v>#DIV/0!</v>
      </c>
      <c r="BO185" s="427" t="e">
        <f t="shared" si="307"/>
        <v>#DIV/0!</v>
      </c>
      <c r="BP185" s="426" t="e">
        <f t="shared" si="307"/>
        <v>#DIV/0!</v>
      </c>
      <c r="BQ185" s="426" t="e">
        <f t="shared" si="307"/>
        <v>#DIV/0!</v>
      </c>
      <c r="BR185" s="426" t="e">
        <f t="shared" si="307"/>
        <v>#DIV/0!</v>
      </c>
      <c r="BS185" s="426" t="e">
        <f t="shared" si="307"/>
        <v>#DIV/0!</v>
      </c>
      <c r="BT185" s="427" t="e">
        <f t="shared" si="307"/>
        <v>#DIV/0!</v>
      </c>
    </row>
    <row r="186" spans="1:72" s="182" customFormat="1" ht="13">
      <c r="A186" s="676">
        <f t="shared" si="265"/>
        <v>180</v>
      </c>
      <c r="B186" s="220" t="s">
        <v>273</v>
      </c>
      <c r="C186" s="33"/>
      <c r="D186" s="33"/>
      <c r="E186" s="145"/>
      <c r="F186" s="145"/>
      <c r="G186" s="145"/>
      <c r="H186" s="37"/>
      <c r="I186" s="37"/>
      <c r="J186" s="37"/>
      <c r="K186" s="37"/>
      <c r="L186" s="145"/>
      <c r="M186" s="37"/>
      <c r="N186" s="37"/>
      <c r="O186" s="37"/>
      <c r="P186" s="37"/>
      <c r="Q186" s="145"/>
      <c r="R186" s="37"/>
      <c r="S186" s="37"/>
      <c r="T186" s="37"/>
      <c r="U186" s="37"/>
      <c r="V186" s="145"/>
      <c r="W186" s="37"/>
      <c r="X186" s="37"/>
      <c r="Y186" s="37"/>
      <c r="Z186" s="37"/>
      <c r="AA186" s="145"/>
      <c r="AB186" s="37"/>
      <c r="AC186" s="37"/>
      <c r="AD186" s="37"/>
      <c r="AE186" s="37"/>
      <c r="AF186" s="145">
        <f>AE186</f>
        <v>0</v>
      </c>
      <c r="AG186" s="37"/>
      <c r="AH186" s="37"/>
      <c r="AI186" s="37"/>
      <c r="AJ186" s="37"/>
      <c r="AK186" s="145">
        <f>AJ186</f>
        <v>0</v>
      </c>
      <c r="AL186" s="37"/>
      <c r="AM186" s="37"/>
      <c r="AN186" s="37"/>
      <c r="AO186" s="37"/>
      <c r="AP186" s="145">
        <f>AO186</f>
        <v>0</v>
      </c>
      <c r="AQ186" s="37"/>
      <c r="AR186" s="37"/>
      <c r="AS186" s="37"/>
      <c r="AT186" s="37"/>
      <c r="AU186" s="145">
        <f>AT186</f>
        <v>0</v>
      </c>
      <c r="AV186" s="37"/>
      <c r="AW186" s="37"/>
      <c r="AX186" s="37"/>
      <c r="AY186" s="37"/>
      <c r="AZ186" s="145">
        <f>AY186</f>
        <v>0</v>
      </c>
      <c r="BA186" s="37"/>
      <c r="BB186" s="37"/>
      <c r="BC186" s="37"/>
      <c r="BD186" s="37"/>
      <c r="BE186" s="145">
        <f>BD186</f>
        <v>0</v>
      </c>
      <c r="BF186" s="37"/>
      <c r="BG186" s="37"/>
      <c r="BH186" s="37"/>
      <c r="BI186" s="37"/>
      <c r="BJ186" s="145">
        <f>BI186</f>
        <v>0</v>
      </c>
      <c r="BK186" s="37"/>
      <c r="BL186" s="37"/>
      <c r="BM186" s="37"/>
      <c r="BN186" s="416">
        <f t="shared" ref="BN186:BT186" si="308">BM186</f>
        <v>0</v>
      </c>
      <c r="BO186" s="417">
        <f t="shared" si="308"/>
        <v>0</v>
      </c>
      <c r="BP186" s="416">
        <f t="shared" si="308"/>
        <v>0</v>
      </c>
      <c r="BQ186" s="416">
        <f t="shared" si="308"/>
        <v>0</v>
      </c>
      <c r="BR186" s="416">
        <f t="shared" si="308"/>
        <v>0</v>
      </c>
      <c r="BS186" s="416">
        <f t="shared" si="308"/>
        <v>0</v>
      </c>
      <c r="BT186" s="417">
        <f t="shared" si="308"/>
        <v>0</v>
      </c>
    </row>
    <row r="187" spans="1:72" s="182" customFormat="1" ht="13">
      <c r="A187" s="676">
        <f t="shared" si="265"/>
        <v>181</v>
      </c>
      <c r="B187" s="220" t="s">
        <v>274</v>
      </c>
      <c r="C187" s="33"/>
      <c r="D187" s="33"/>
      <c r="E187" s="145"/>
      <c r="F187" s="145"/>
      <c r="G187" s="145"/>
      <c r="H187" s="37"/>
      <c r="I187" s="37"/>
      <c r="J187" s="37"/>
      <c r="K187" s="37"/>
      <c r="L187" s="145"/>
      <c r="M187" s="37"/>
      <c r="N187" s="37"/>
      <c r="O187" s="37"/>
      <c r="P187" s="37"/>
      <c r="Q187" s="145"/>
      <c r="R187" s="37"/>
      <c r="S187" s="37"/>
      <c r="T187" s="37"/>
      <c r="U187" s="37"/>
      <c r="V187" s="145"/>
      <c r="W187" s="37"/>
      <c r="X187" s="37"/>
      <c r="Y187" s="37"/>
      <c r="Z187" s="37"/>
      <c r="AA187" s="145"/>
      <c r="AB187" s="37"/>
      <c r="AC187" s="37"/>
      <c r="AD187" s="37"/>
      <c r="AE187" s="37"/>
      <c r="AF187" s="145">
        <f>AE187</f>
        <v>0</v>
      </c>
      <c r="AG187" s="37"/>
      <c r="AH187" s="37"/>
      <c r="AI187" s="37"/>
      <c r="AJ187" s="37"/>
      <c r="AK187" s="145">
        <f>AJ187</f>
        <v>0</v>
      </c>
      <c r="AL187" s="37"/>
      <c r="AM187" s="37"/>
      <c r="AN187" s="37"/>
      <c r="AO187" s="37"/>
      <c r="AP187" s="145">
        <f>AO187</f>
        <v>0</v>
      </c>
      <c r="AQ187" s="37"/>
      <c r="AR187" s="37"/>
      <c r="AS187" s="37"/>
      <c r="AT187" s="37"/>
      <c r="AU187" s="145">
        <f>AT187</f>
        <v>0</v>
      </c>
      <c r="AV187" s="37"/>
      <c r="AW187" s="37"/>
      <c r="AX187" s="37"/>
      <c r="AY187" s="37"/>
      <c r="AZ187" s="145">
        <f>AY187</f>
        <v>0</v>
      </c>
      <c r="BA187" s="37"/>
      <c r="BB187" s="37"/>
      <c r="BC187" s="37"/>
      <c r="BD187" s="37"/>
      <c r="BE187" s="145">
        <f>BD187</f>
        <v>0</v>
      </c>
      <c r="BF187" s="37"/>
      <c r="BG187" s="37"/>
      <c r="BH187" s="37"/>
      <c r="BI187" s="37"/>
      <c r="BJ187" s="145">
        <f>BI187</f>
        <v>0</v>
      </c>
      <c r="BK187" s="37"/>
      <c r="BL187" s="37"/>
      <c r="BM187" s="37"/>
      <c r="BN187" s="416" t="e">
        <f>BN59*BN235*4</f>
        <v>#DIV/0!</v>
      </c>
      <c r="BO187" s="417" t="e">
        <f>BN187</f>
        <v>#DIV/0!</v>
      </c>
      <c r="BP187" s="416" t="e">
        <f>BP59*BP235*4</f>
        <v>#DIV/0!</v>
      </c>
      <c r="BQ187" s="416" t="e">
        <f>BQ59*BQ235*4</f>
        <v>#DIV/0!</v>
      </c>
      <c r="BR187" s="416" t="e">
        <f>BR59*BR235*4</f>
        <v>#DIV/0!</v>
      </c>
      <c r="BS187" s="416" t="e">
        <f>BS59*BS235*4</f>
        <v>#DIV/0!</v>
      </c>
      <c r="BT187" s="417" t="e">
        <f>BS187</f>
        <v>#DIV/0!</v>
      </c>
    </row>
    <row r="188" spans="1:72" s="182" customFormat="1" ht="13">
      <c r="A188" s="676">
        <f t="shared" si="265"/>
        <v>182</v>
      </c>
      <c r="B188" s="220" t="s">
        <v>275</v>
      </c>
      <c r="C188" s="33"/>
      <c r="D188" s="33"/>
      <c r="E188" s="145"/>
      <c r="F188" s="145"/>
      <c r="G188" s="145"/>
      <c r="H188" s="37"/>
      <c r="I188" s="37"/>
      <c r="J188" s="37"/>
      <c r="K188" s="37"/>
      <c r="L188" s="145"/>
      <c r="M188" s="37"/>
      <c r="N188" s="37"/>
      <c r="O188" s="37"/>
      <c r="P188" s="37"/>
      <c r="Q188" s="145"/>
      <c r="R188" s="37"/>
      <c r="S188" s="37"/>
      <c r="T188" s="37"/>
      <c r="U188" s="37"/>
      <c r="V188" s="145"/>
      <c r="W188" s="37"/>
      <c r="X188" s="37"/>
      <c r="Y188" s="37"/>
      <c r="Z188" s="37"/>
      <c r="AA188" s="145"/>
      <c r="AB188" s="37"/>
      <c r="AC188" s="37"/>
      <c r="AD188" s="37"/>
      <c r="AE188" s="37"/>
      <c r="AF188" s="145">
        <f>AE188</f>
        <v>0</v>
      </c>
      <c r="AG188" s="37"/>
      <c r="AH188" s="37"/>
      <c r="AI188" s="37"/>
      <c r="AJ188" s="37"/>
      <c r="AK188" s="145">
        <f>AJ188</f>
        <v>0</v>
      </c>
      <c r="AL188" s="37"/>
      <c r="AM188" s="37"/>
      <c r="AN188" s="37"/>
      <c r="AO188" s="37"/>
      <c r="AP188" s="145">
        <f>AO188</f>
        <v>0</v>
      </c>
      <c r="AQ188" s="37"/>
      <c r="AR188" s="37"/>
      <c r="AS188" s="37"/>
      <c r="AT188" s="37"/>
      <c r="AU188" s="145">
        <f>AT188</f>
        <v>0</v>
      </c>
      <c r="AV188" s="37"/>
      <c r="AW188" s="37"/>
      <c r="AX188" s="37"/>
      <c r="AY188" s="37"/>
      <c r="AZ188" s="145">
        <f>AY188</f>
        <v>0</v>
      </c>
      <c r="BA188" s="37"/>
      <c r="BB188" s="37"/>
      <c r="BC188" s="37"/>
      <c r="BD188" s="37"/>
      <c r="BE188" s="145">
        <f>BD188</f>
        <v>0</v>
      </c>
      <c r="BF188" s="37"/>
      <c r="BG188" s="37"/>
      <c r="BH188" s="37"/>
      <c r="BI188" s="37"/>
      <c r="BJ188" s="145">
        <f>BI188</f>
        <v>0</v>
      </c>
      <c r="BK188" s="37"/>
      <c r="BL188" s="37"/>
      <c r="BM188" s="37"/>
      <c r="BN188" s="428" t="e">
        <f>BN64*BN239*4</f>
        <v>#DIV/0!</v>
      </c>
      <c r="BO188" s="417" t="e">
        <f>BN188</f>
        <v>#DIV/0!</v>
      </c>
      <c r="BP188" s="428" t="e">
        <f>BP64*BP239*4</f>
        <v>#DIV/0!</v>
      </c>
      <c r="BQ188" s="428" t="e">
        <f>BQ64*BQ239*4</f>
        <v>#DIV/0!</v>
      </c>
      <c r="BR188" s="428" t="e">
        <f>BR64*BR239*4</f>
        <v>#DIV/0!</v>
      </c>
      <c r="BS188" s="428" t="e">
        <f>BS64*BS239*4</f>
        <v>#DIV/0!</v>
      </c>
      <c r="BT188" s="417" t="e">
        <f>BS188</f>
        <v>#DIV/0!</v>
      </c>
    </row>
    <row r="189" spans="1:72" s="182" customFormat="1" ht="13">
      <c r="A189" s="676">
        <f t="shared" si="265"/>
        <v>183</v>
      </c>
      <c r="B189" s="220" t="s">
        <v>276</v>
      </c>
      <c r="C189" s="33"/>
      <c r="D189" s="33"/>
      <c r="E189" s="145"/>
      <c r="F189" s="145"/>
      <c r="G189" s="145"/>
      <c r="H189" s="37"/>
      <c r="I189" s="37"/>
      <c r="J189" s="37"/>
      <c r="K189" s="37"/>
      <c r="L189" s="145"/>
      <c r="M189" s="37"/>
      <c r="N189" s="37"/>
      <c r="O189" s="37"/>
      <c r="P189" s="37"/>
      <c r="Q189" s="145"/>
      <c r="R189" s="37"/>
      <c r="S189" s="37"/>
      <c r="T189" s="37"/>
      <c r="U189" s="37"/>
      <c r="V189" s="145"/>
      <c r="W189" s="37"/>
      <c r="X189" s="37"/>
      <c r="Y189" s="37"/>
      <c r="Z189" s="37"/>
      <c r="AA189" s="145"/>
      <c r="AB189" s="37"/>
      <c r="AC189" s="37"/>
      <c r="AD189" s="37"/>
      <c r="AE189" s="37"/>
      <c r="AF189" s="145">
        <f>AE189</f>
        <v>0</v>
      </c>
      <c r="AG189" s="37"/>
      <c r="AH189" s="37"/>
      <c r="AI189" s="37"/>
      <c r="AJ189" s="37"/>
      <c r="AK189" s="145">
        <f>AJ189</f>
        <v>0</v>
      </c>
      <c r="AL189" s="37"/>
      <c r="AM189" s="37"/>
      <c r="AN189" s="37"/>
      <c r="AO189" s="37"/>
      <c r="AP189" s="145">
        <f>AO189</f>
        <v>0</v>
      </c>
      <c r="AQ189" s="37"/>
      <c r="AR189" s="37"/>
      <c r="AS189" s="37"/>
      <c r="AT189" s="37"/>
      <c r="AU189" s="145">
        <f>AT189</f>
        <v>0</v>
      </c>
      <c r="AV189" s="37"/>
      <c r="AW189" s="37"/>
      <c r="AX189" s="37"/>
      <c r="AY189" s="37"/>
      <c r="AZ189" s="145">
        <f>AY189</f>
        <v>0</v>
      </c>
      <c r="BA189" s="37"/>
      <c r="BB189" s="37"/>
      <c r="BC189" s="37"/>
      <c r="BD189" s="37"/>
      <c r="BE189" s="145">
        <f>BD189</f>
        <v>0</v>
      </c>
      <c r="BF189" s="37"/>
      <c r="BG189" s="37"/>
      <c r="BH189" s="37"/>
      <c r="BI189" s="37"/>
      <c r="BJ189" s="145">
        <f>BI189</f>
        <v>0</v>
      </c>
      <c r="BK189" s="37"/>
      <c r="BL189" s="37"/>
      <c r="BM189" s="37"/>
      <c r="BN189" s="416">
        <f>BM189</f>
        <v>0</v>
      </c>
      <c r="BO189" s="417">
        <f>BN189</f>
        <v>0</v>
      </c>
      <c r="BP189" s="416">
        <f t="shared" ref="BP189:BS190" si="309">BO189</f>
        <v>0</v>
      </c>
      <c r="BQ189" s="416">
        <f t="shared" si="309"/>
        <v>0</v>
      </c>
      <c r="BR189" s="416">
        <f t="shared" si="309"/>
        <v>0</v>
      </c>
      <c r="BS189" s="416">
        <f t="shared" si="309"/>
        <v>0</v>
      </c>
      <c r="BT189" s="417">
        <f>BS189</f>
        <v>0</v>
      </c>
    </row>
    <row r="190" spans="1:72" s="182" customFormat="1" ht="13">
      <c r="A190" s="676">
        <f t="shared" si="265"/>
        <v>184</v>
      </c>
      <c r="B190" s="220" t="s">
        <v>277</v>
      </c>
      <c r="C190" s="33"/>
      <c r="D190" s="33"/>
      <c r="E190" s="172"/>
      <c r="F190" s="172"/>
      <c r="G190" s="172"/>
      <c r="H190" s="39"/>
      <c r="I190" s="39"/>
      <c r="J190" s="39"/>
      <c r="K190" s="39"/>
      <c r="L190" s="172"/>
      <c r="M190" s="39"/>
      <c r="N190" s="39"/>
      <c r="O190" s="39"/>
      <c r="P190" s="39"/>
      <c r="Q190" s="172"/>
      <c r="R190" s="39"/>
      <c r="S190" s="39"/>
      <c r="T190" s="39"/>
      <c r="U190" s="39"/>
      <c r="V190" s="172"/>
      <c r="W190" s="39"/>
      <c r="X190" s="39"/>
      <c r="Y190" s="39"/>
      <c r="Z190" s="39"/>
      <c r="AA190" s="172"/>
      <c r="AB190" s="39"/>
      <c r="AC190" s="39"/>
      <c r="AD190" s="39"/>
      <c r="AE190" s="39"/>
      <c r="AF190" s="172">
        <f>AE190</f>
        <v>0</v>
      </c>
      <c r="AG190" s="39"/>
      <c r="AH190" s="39"/>
      <c r="AI190" s="39"/>
      <c r="AJ190" s="39"/>
      <c r="AK190" s="172">
        <f>AJ190</f>
        <v>0</v>
      </c>
      <c r="AL190" s="39"/>
      <c r="AM190" s="39"/>
      <c r="AN190" s="39"/>
      <c r="AO190" s="39"/>
      <c r="AP190" s="172">
        <f>AO190</f>
        <v>0</v>
      </c>
      <c r="AQ190" s="39"/>
      <c r="AR190" s="39"/>
      <c r="AS190" s="39"/>
      <c r="AT190" s="39"/>
      <c r="AU190" s="172">
        <f>AT190</f>
        <v>0</v>
      </c>
      <c r="AV190" s="39"/>
      <c r="AW190" s="39"/>
      <c r="AX190" s="39"/>
      <c r="AY190" s="39"/>
      <c r="AZ190" s="172">
        <f>AY190</f>
        <v>0</v>
      </c>
      <c r="BA190" s="39"/>
      <c r="BB190" s="39"/>
      <c r="BC190" s="39"/>
      <c r="BD190" s="39"/>
      <c r="BE190" s="172">
        <f>BD190</f>
        <v>0</v>
      </c>
      <c r="BF190" s="39"/>
      <c r="BG190" s="39"/>
      <c r="BH190" s="39"/>
      <c r="BI190" s="39"/>
      <c r="BJ190" s="172">
        <f>BI190</f>
        <v>0</v>
      </c>
      <c r="BK190" s="39"/>
      <c r="BL190" s="39"/>
      <c r="BM190" s="39"/>
      <c r="BN190" s="420">
        <f>BM190</f>
        <v>0</v>
      </c>
      <c r="BO190" s="421">
        <f>BN190</f>
        <v>0</v>
      </c>
      <c r="BP190" s="420">
        <f t="shared" si="309"/>
        <v>0</v>
      </c>
      <c r="BQ190" s="420">
        <f t="shared" si="309"/>
        <v>0</v>
      </c>
      <c r="BR190" s="420">
        <f t="shared" si="309"/>
        <v>0</v>
      </c>
      <c r="BS190" s="420">
        <f t="shared" si="309"/>
        <v>0</v>
      </c>
      <c r="BT190" s="421">
        <f>BS190</f>
        <v>0</v>
      </c>
    </row>
    <row r="191" spans="1:72" s="182" customFormat="1" ht="13">
      <c r="A191" s="676">
        <f t="shared" si="265"/>
        <v>185</v>
      </c>
      <c r="B191" s="34" t="s">
        <v>278</v>
      </c>
      <c r="C191" s="33"/>
      <c r="D191" s="33"/>
      <c r="E191" s="145">
        <f t="shared" ref="E191:V191" si="310">SUM(E185:E190)</f>
        <v>0</v>
      </c>
      <c r="F191" s="145">
        <f t="shared" si="310"/>
        <v>0</v>
      </c>
      <c r="G191" s="145">
        <f t="shared" si="310"/>
        <v>0</v>
      </c>
      <c r="H191" s="37">
        <f t="shared" si="310"/>
        <v>0</v>
      </c>
      <c r="I191" s="37">
        <f t="shared" si="310"/>
        <v>0</v>
      </c>
      <c r="J191" s="37">
        <f t="shared" si="310"/>
        <v>0</v>
      </c>
      <c r="K191" s="37">
        <f t="shared" si="310"/>
        <v>0</v>
      </c>
      <c r="L191" s="145">
        <f t="shared" si="310"/>
        <v>0</v>
      </c>
      <c r="M191" s="37">
        <f t="shared" si="310"/>
        <v>0</v>
      </c>
      <c r="N191" s="37">
        <f t="shared" si="310"/>
        <v>0</v>
      </c>
      <c r="O191" s="37">
        <f t="shared" si="310"/>
        <v>0</v>
      </c>
      <c r="P191" s="37">
        <f t="shared" si="310"/>
        <v>0</v>
      </c>
      <c r="Q191" s="145">
        <f t="shared" si="310"/>
        <v>0</v>
      </c>
      <c r="R191" s="37">
        <f t="shared" si="310"/>
        <v>0</v>
      </c>
      <c r="S191" s="37">
        <f t="shared" si="310"/>
        <v>0</v>
      </c>
      <c r="T191" s="37">
        <f t="shared" si="310"/>
        <v>0</v>
      </c>
      <c r="U191" s="37">
        <f t="shared" si="310"/>
        <v>0</v>
      </c>
      <c r="V191" s="145">
        <f t="shared" si="310"/>
        <v>0</v>
      </c>
      <c r="W191" s="37">
        <f t="shared" ref="W191:AF191" si="311">SUM(W185:W190)</f>
        <v>0</v>
      </c>
      <c r="X191" s="37">
        <f t="shared" si="311"/>
        <v>0</v>
      </c>
      <c r="Y191" s="37">
        <f t="shared" si="311"/>
        <v>0</v>
      </c>
      <c r="Z191" s="37">
        <f>SUM(Z185:Z190)</f>
        <v>0</v>
      </c>
      <c r="AA191" s="145">
        <f>SUM(AA185:AA190)</f>
        <v>0</v>
      </c>
      <c r="AB191" s="37">
        <f t="shared" si="311"/>
        <v>0</v>
      </c>
      <c r="AC191" s="37">
        <f>SUM(AC185:AC190)</f>
        <v>0</v>
      </c>
      <c r="AD191" s="37">
        <f>SUM(AD185:AD190)</f>
        <v>0</v>
      </c>
      <c r="AE191" s="37">
        <f>SUM(AE185:AE190)</f>
        <v>0</v>
      </c>
      <c r="AF191" s="145">
        <f t="shared" si="311"/>
        <v>0</v>
      </c>
      <c r="AG191" s="37">
        <f t="shared" ref="AG191:AQ191" si="312">SUM(AG185:AG190)</f>
        <v>0</v>
      </c>
      <c r="AH191" s="37">
        <f t="shared" si="312"/>
        <v>0</v>
      </c>
      <c r="AI191" s="37">
        <f t="shared" si="312"/>
        <v>0</v>
      </c>
      <c r="AJ191" s="37">
        <f t="shared" si="312"/>
        <v>0</v>
      </c>
      <c r="AK191" s="145">
        <f t="shared" si="312"/>
        <v>0</v>
      </c>
      <c r="AL191" s="37">
        <f t="shared" si="312"/>
        <v>0</v>
      </c>
      <c r="AM191" s="37">
        <f t="shared" si="312"/>
        <v>0</v>
      </c>
      <c r="AN191" s="37">
        <f t="shared" si="312"/>
        <v>0</v>
      </c>
      <c r="AO191" s="37">
        <f t="shared" si="312"/>
        <v>0</v>
      </c>
      <c r="AP191" s="145">
        <f t="shared" si="312"/>
        <v>0</v>
      </c>
      <c r="AQ191" s="37">
        <f t="shared" si="312"/>
        <v>0</v>
      </c>
      <c r="AR191" s="37">
        <f t="shared" ref="AR191:AW191" si="313">SUM(AR185:AR190)</f>
        <v>0</v>
      </c>
      <c r="AS191" s="37">
        <f t="shared" si="313"/>
        <v>0</v>
      </c>
      <c r="AT191" s="37">
        <f t="shared" si="313"/>
        <v>0</v>
      </c>
      <c r="AU191" s="145">
        <f t="shared" si="313"/>
        <v>0</v>
      </c>
      <c r="AV191" s="37">
        <f t="shared" si="313"/>
        <v>0</v>
      </c>
      <c r="AW191" s="37">
        <f t="shared" si="313"/>
        <v>0</v>
      </c>
      <c r="AX191" s="37">
        <f t="shared" ref="AX191:BG191" si="314">SUM(AX185:AX190)</f>
        <v>0</v>
      </c>
      <c r="AY191" s="37">
        <f t="shared" si="314"/>
        <v>0</v>
      </c>
      <c r="AZ191" s="145">
        <f t="shared" si="314"/>
        <v>0</v>
      </c>
      <c r="BA191" s="37">
        <f t="shared" si="314"/>
        <v>0</v>
      </c>
      <c r="BB191" s="37">
        <f t="shared" si="314"/>
        <v>0</v>
      </c>
      <c r="BC191" s="37">
        <f t="shared" si="314"/>
        <v>0</v>
      </c>
      <c r="BD191" s="37">
        <f t="shared" si="314"/>
        <v>0</v>
      </c>
      <c r="BE191" s="145">
        <f t="shared" si="314"/>
        <v>0</v>
      </c>
      <c r="BF191" s="37">
        <f t="shared" si="314"/>
        <v>0</v>
      </c>
      <c r="BG191" s="37">
        <f t="shared" si="314"/>
        <v>0</v>
      </c>
      <c r="BH191" s="37">
        <f t="shared" ref="BH191:BT191" si="315">SUM(BH185:BH190)</f>
        <v>0</v>
      </c>
      <c r="BI191" s="37">
        <f t="shared" si="315"/>
        <v>0</v>
      </c>
      <c r="BJ191" s="145">
        <f t="shared" si="315"/>
        <v>0</v>
      </c>
      <c r="BK191" s="37">
        <f t="shared" si="315"/>
        <v>0</v>
      </c>
      <c r="BL191" s="37">
        <f t="shared" si="315"/>
        <v>0</v>
      </c>
      <c r="BM191" s="37">
        <f>SUM(BM185:BM190)</f>
        <v>0</v>
      </c>
      <c r="BN191" s="416" t="e">
        <f t="shared" si="315"/>
        <v>#DIV/0!</v>
      </c>
      <c r="BO191" s="417" t="e">
        <f t="shared" si="315"/>
        <v>#DIV/0!</v>
      </c>
      <c r="BP191" s="416" t="e">
        <f t="shared" si="315"/>
        <v>#DIV/0!</v>
      </c>
      <c r="BQ191" s="416" t="e">
        <f t="shared" si="315"/>
        <v>#DIV/0!</v>
      </c>
      <c r="BR191" s="416" t="e">
        <f t="shared" si="315"/>
        <v>#DIV/0!</v>
      </c>
      <c r="BS191" s="416" t="e">
        <f t="shared" si="315"/>
        <v>#DIV/0!</v>
      </c>
      <c r="BT191" s="417" t="e">
        <f t="shared" si="315"/>
        <v>#DIV/0!</v>
      </c>
    </row>
    <row r="192" spans="1:72" s="182" customFormat="1" ht="4.5" customHeight="1">
      <c r="A192" s="676">
        <f t="shared" si="265"/>
        <v>186</v>
      </c>
      <c r="B192" s="34"/>
      <c r="C192" s="33"/>
      <c r="D192" s="33"/>
      <c r="E192" s="145"/>
      <c r="F192" s="145"/>
      <c r="G192" s="145"/>
      <c r="H192" s="37"/>
      <c r="I192" s="37"/>
      <c r="J192" s="37"/>
      <c r="K192" s="37"/>
      <c r="L192" s="145"/>
      <c r="M192" s="37"/>
      <c r="N192" s="37"/>
      <c r="O192" s="37"/>
      <c r="P192" s="37"/>
      <c r="Q192" s="145"/>
      <c r="R192" s="37"/>
      <c r="S192" s="37"/>
      <c r="T192" s="37"/>
      <c r="U192" s="37"/>
      <c r="V192" s="145"/>
      <c r="W192" s="37"/>
      <c r="X192" s="37"/>
      <c r="Y192" s="37"/>
      <c r="Z192" s="37"/>
      <c r="AA192" s="145"/>
      <c r="AB192" s="37"/>
      <c r="AC192" s="37"/>
      <c r="AD192" s="37"/>
      <c r="AE192" s="37"/>
      <c r="AF192" s="145"/>
      <c r="AG192" s="37"/>
      <c r="AH192" s="37"/>
      <c r="AI192" s="37"/>
      <c r="AJ192" s="37"/>
      <c r="AK192" s="145"/>
      <c r="AL192" s="37"/>
      <c r="AM192" s="37"/>
      <c r="AN192" s="37"/>
      <c r="AO192" s="37"/>
      <c r="AP192" s="145"/>
      <c r="AQ192" s="37"/>
      <c r="AR192" s="37"/>
      <c r="AS192" s="37"/>
      <c r="AT192" s="37"/>
      <c r="AU192" s="145"/>
      <c r="AV192" s="37"/>
      <c r="AW192" s="37"/>
      <c r="AX192" s="37"/>
      <c r="AY192" s="37"/>
      <c r="AZ192" s="145"/>
      <c r="BA192" s="37"/>
      <c r="BB192" s="37"/>
      <c r="BC192" s="37"/>
      <c r="BD192" s="37"/>
      <c r="BE192" s="145"/>
      <c r="BF192" s="37"/>
      <c r="BG192" s="37"/>
      <c r="BH192" s="37"/>
      <c r="BI192" s="37"/>
      <c r="BJ192" s="145"/>
      <c r="BK192" s="37"/>
      <c r="BL192" s="37"/>
      <c r="BM192" s="37"/>
      <c r="BN192" s="416"/>
      <c r="BO192" s="417"/>
      <c r="BP192" s="416"/>
      <c r="BQ192" s="416"/>
      <c r="BR192" s="416"/>
      <c r="BS192" s="416"/>
      <c r="BT192" s="417"/>
    </row>
    <row r="193" spans="1:72" s="182" customFormat="1" ht="13">
      <c r="A193" s="676">
        <f t="shared" si="265"/>
        <v>187</v>
      </c>
      <c r="B193" s="34"/>
      <c r="C193" s="33"/>
      <c r="D193" s="33"/>
      <c r="E193" s="145"/>
      <c r="F193" s="145"/>
      <c r="G193" s="145"/>
      <c r="H193" s="37"/>
      <c r="I193" s="37"/>
      <c r="J193" s="37"/>
      <c r="K193" s="37"/>
      <c r="L193" s="145"/>
      <c r="M193" s="37"/>
      <c r="N193" s="37"/>
      <c r="O193" s="37"/>
      <c r="P193" s="37"/>
      <c r="Q193" s="145"/>
      <c r="R193" s="37"/>
      <c r="S193" s="37"/>
      <c r="T193" s="37"/>
      <c r="U193" s="37"/>
      <c r="V193" s="145"/>
      <c r="W193" s="37"/>
      <c r="X193" s="37"/>
      <c r="Y193" s="37"/>
      <c r="Z193" s="37"/>
      <c r="AA193" s="145"/>
      <c r="AB193" s="37"/>
      <c r="AC193" s="37"/>
      <c r="AD193" s="37"/>
      <c r="AE193" s="37"/>
      <c r="AF193" s="145"/>
      <c r="AG193" s="37"/>
      <c r="AH193" s="37"/>
      <c r="AI193" s="37"/>
      <c r="AJ193" s="37"/>
      <c r="AK193" s="145"/>
      <c r="AL193" s="37"/>
      <c r="AM193" s="37"/>
      <c r="AN193" s="37"/>
      <c r="AO193" s="37"/>
      <c r="AP193" s="145"/>
      <c r="AQ193" s="37"/>
      <c r="AR193" s="37"/>
      <c r="AS193" s="37"/>
      <c r="AT193" s="37"/>
      <c r="AU193" s="145"/>
      <c r="AV193" s="37"/>
      <c r="AW193" s="37"/>
      <c r="AX193" s="37"/>
      <c r="AY193" s="37"/>
      <c r="AZ193" s="145"/>
      <c r="BA193" s="37"/>
      <c r="BB193" s="37"/>
      <c r="BC193" s="37"/>
      <c r="BD193" s="37"/>
      <c r="BE193" s="145"/>
      <c r="BF193" s="37"/>
      <c r="BG193" s="37"/>
      <c r="BH193" s="37"/>
      <c r="BI193" s="37"/>
      <c r="BJ193" s="145"/>
      <c r="BK193" s="37"/>
      <c r="BL193" s="37"/>
      <c r="BM193" s="37"/>
      <c r="BN193" s="416"/>
      <c r="BO193" s="417"/>
      <c r="BP193" s="416"/>
      <c r="BQ193" s="416"/>
      <c r="BR193" s="416"/>
      <c r="BS193" s="416"/>
      <c r="BT193" s="417"/>
    </row>
    <row r="194" spans="1:72" s="182" customFormat="1" ht="13">
      <c r="A194" s="676">
        <f t="shared" si="265"/>
        <v>188</v>
      </c>
      <c r="B194" s="220" t="s">
        <v>279</v>
      </c>
      <c r="C194" s="33"/>
      <c r="D194" s="33"/>
      <c r="E194" s="145"/>
      <c r="F194" s="145"/>
      <c r="G194" s="145"/>
      <c r="H194" s="37"/>
      <c r="I194" s="37"/>
      <c r="J194" s="37"/>
      <c r="K194" s="37"/>
      <c r="L194" s="145"/>
      <c r="M194" s="37"/>
      <c r="N194" s="37"/>
      <c r="O194" s="37"/>
      <c r="P194" s="37"/>
      <c r="Q194" s="145"/>
      <c r="R194" s="37"/>
      <c r="S194" s="37"/>
      <c r="T194" s="37"/>
      <c r="U194" s="37"/>
      <c r="V194" s="145"/>
      <c r="W194" s="37"/>
      <c r="X194" s="37"/>
      <c r="Y194" s="37"/>
      <c r="Z194" s="37"/>
      <c r="AA194" s="145"/>
      <c r="AB194" s="37"/>
      <c r="AC194" s="37"/>
      <c r="AD194" s="37"/>
      <c r="AE194" s="37"/>
      <c r="AF194" s="145">
        <f>AE194</f>
        <v>0</v>
      </c>
      <c r="AG194" s="37"/>
      <c r="AH194" s="37"/>
      <c r="AI194" s="37"/>
      <c r="AJ194" s="37"/>
      <c r="AK194" s="145">
        <f>AJ194</f>
        <v>0</v>
      </c>
      <c r="AL194" s="37"/>
      <c r="AM194" s="37"/>
      <c r="AN194" s="37"/>
      <c r="AO194" s="37"/>
      <c r="AP194" s="145">
        <f>AO194</f>
        <v>0</v>
      </c>
      <c r="AQ194" s="37"/>
      <c r="AR194" s="37"/>
      <c r="AS194" s="37"/>
      <c r="AT194" s="37"/>
      <c r="AU194" s="145">
        <f>AT194</f>
        <v>0</v>
      </c>
      <c r="AV194" s="37"/>
      <c r="AW194" s="37"/>
      <c r="AX194" s="37"/>
      <c r="AY194" s="37"/>
      <c r="AZ194" s="145">
        <f>AY194</f>
        <v>0</v>
      </c>
      <c r="BA194" s="37"/>
      <c r="BB194" s="37"/>
      <c r="BC194" s="37"/>
      <c r="BD194" s="37"/>
      <c r="BE194" s="145">
        <f>BD194</f>
        <v>0</v>
      </c>
      <c r="BF194" s="37"/>
      <c r="BG194" s="37"/>
      <c r="BH194" s="37"/>
      <c r="BI194" s="37"/>
      <c r="BJ194" s="145">
        <f>BI194</f>
        <v>0</v>
      </c>
      <c r="BK194" s="37"/>
      <c r="BL194" s="37"/>
      <c r="BM194" s="37"/>
      <c r="BN194" s="416" t="e">
        <f>BM194-BN150-BN110-BN151-BN152</f>
        <v>#DIV/0!</v>
      </c>
      <c r="BO194" s="417" t="e">
        <f>BN194</f>
        <v>#DIV/0!</v>
      </c>
      <c r="BP194" s="416" t="e">
        <f>BO194-BP150-BP110-BP151-BP152</f>
        <v>#DIV/0!</v>
      </c>
      <c r="BQ194" s="416" t="e">
        <f>BP194-BQ150-BQ110-BQ151-BQ152</f>
        <v>#DIV/0!</v>
      </c>
      <c r="BR194" s="416" t="e">
        <f>BQ194-BR150-BR110-BR151-BR152</f>
        <v>#DIV/0!</v>
      </c>
      <c r="BS194" s="416" t="e">
        <f>BR194-BS150-BS110-BS151-BS152</f>
        <v>#DIV/0!</v>
      </c>
      <c r="BT194" s="417" t="e">
        <f>BS194</f>
        <v>#DIV/0!</v>
      </c>
    </row>
    <row r="195" spans="1:72" s="182" customFormat="1" ht="13">
      <c r="A195" s="676">
        <f t="shared" si="265"/>
        <v>189</v>
      </c>
      <c r="B195" s="220" t="s">
        <v>280</v>
      </c>
      <c r="C195" s="33"/>
      <c r="D195" s="33"/>
      <c r="E195" s="145"/>
      <c r="F195" s="145"/>
      <c r="G195" s="145"/>
      <c r="H195" s="37"/>
      <c r="I195" s="37"/>
      <c r="J195" s="37"/>
      <c r="K195" s="37"/>
      <c r="L195" s="145"/>
      <c r="M195" s="37"/>
      <c r="N195" s="37"/>
      <c r="O195" s="37"/>
      <c r="P195" s="37"/>
      <c r="Q195" s="145"/>
      <c r="R195" s="37"/>
      <c r="S195" s="37"/>
      <c r="T195" s="37"/>
      <c r="U195" s="37"/>
      <c r="V195" s="145"/>
      <c r="W195" s="37"/>
      <c r="X195" s="37"/>
      <c r="Y195" s="37"/>
      <c r="Z195" s="37"/>
      <c r="AA195" s="145"/>
      <c r="AB195" s="37"/>
      <c r="AC195" s="37"/>
      <c r="AD195" s="37"/>
      <c r="AE195" s="37"/>
      <c r="AF195" s="145">
        <f>AE195</f>
        <v>0</v>
      </c>
      <c r="AG195" s="37"/>
      <c r="AH195" s="37"/>
      <c r="AI195" s="37"/>
      <c r="AJ195" s="37"/>
      <c r="AK195" s="145">
        <f>AJ195</f>
        <v>0</v>
      </c>
      <c r="AL195" s="37"/>
      <c r="AM195" s="37"/>
      <c r="AN195" s="37"/>
      <c r="AO195" s="37"/>
      <c r="AP195" s="145">
        <f>AO195</f>
        <v>0</v>
      </c>
      <c r="AQ195" s="37"/>
      <c r="AR195" s="37"/>
      <c r="AS195" s="37"/>
      <c r="AT195" s="37"/>
      <c r="AU195" s="145">
        <f>AT195</f>
        <v>0</v>
      </c>
      <c r="AV195" s="37"/>
      <c r="AW195" s="37"/>
      <c r="AX195" s="37"/>
      <c r="AY195" s="37"/>
      <c r="AZ195" s="145">
        <f>AY195</f>
        <v>0</v>
      </c>
      <c r="BA195" s="37"/>
      <c r="BB195" s="37"/>
      <c r="BC195" s="37"/>
      <c r="BD195" s="37"/>
      <c r="BE195" s="145">
        <f>BD195</f>
        <v>0</v>
      </c>
      <c r="BF195" s="37"/>
      <c r="BG195" s="37"/>
      <c r="BH195" s="37"/>
      <c r="BI195" s="37"/>
      <c r="BJ195" s="145">
        <f>BI195</f>
        <v>0</v>
      </c>
      <c r="BK195" s="37"/>
      <c r="BL195" s="37"/>
      <c r="BM195" s="37"/>
      <c r="BN195" s="429">
        <f>BM195</f>
        <v>0</v>
      </c>
      <c r="BO195" s="429">
        <f>BN195</f>
        <v>0</v>
      </c>
      <c r="BP195" s="416">
        <f t="shared" ref="BP195:BS196" si="316">BO195</f>
        <v>0</v>
      </c>
      <c r="BQ195" s="416">
        <f t="shared" si="316"/>
        <v>0</v>
      </c>
      <c r="BR195" s="416">
        <f t="shared" si="316"/>
        <v>0</v>
      </c>
      <c r="BS195" s="429">
        <f t="shared" si="316"/>
        <v>0</v>
      </c>
      <c r="BT195" s="429">
        <f>BS195</f>
        <v>0</v>
      </c>
    </row>
    <row r="196" spans="1:72" s="182" customFormat="1" ht="13">
      <c r="A196" s="676">
        <f t="shared" si="265"/>
        <v>190</v>
      </c>
      <c r="B196" s="220" t="s">
        <v>281</v>
      </c>
      <c r="C196" s="33"/>
      <c r="D196" s="33"/>
      <c r="E196" s="172"/>
      <c r="F196" s="172"/>
      <c r="G196" s="172"/>
      <c r="H196" s="39"/>
      <c r="I196" s="39"/>
      <c r="J196" s="39"/>
      <c r="K196" s="39"/>
      <c r="L196" s="172"/>
      <c r="M196" s="39"/>
      <c r="N196" s="39"/>
      <c r="O196" s="39"/>
      <c r="P196" s="39"/>
      <c r="Q196" s="172"/>
      <c r="R196" s="39"/>
      <c r="S196" s="39"/>
      <c r="T196" s="39"/>
      <c r="U196" s="39"/>
      <c r="V196" s="172"/>
      <c r="W196" s="39"/>
      <c r="X196" s="39"/>
      <c r="Y196" s="39"/>
      <c r="Z196" s="39"/>
      <c r="AA196" s="172"/>
      <c r="AB196" s="39"/>
      <c r="AC196" s="39"/>
      <c r="AD196" s="39"/>
      <c r="AE196" s="39"/>
      <c r="AF196" s="172">
        <f>AE196</f>
        <v>0</v>
      </c>
      <c r="AG196" s="39"/>
      <c r="AH196" s="39"/>
      <c r="AI196" s="39"/>
      <c r="AJ196" s="39"/>
      <c r="AK196" s="172">
        <f>AJ196</f>
        <v>0</v>
      </c>
      <c r="AL196" s="39"/>
      <c r="AM196" s="39"/>
      <c r="AN196" s="39"/>
      <c r="AO196" s="39"/>
      <c r="AP196" s="172">
        <f>AO196</f>
        <v>0</v>
      </c>
      <c r="AQ196" s="39"/>
      <c r="AR196" s="39"/>
      <c r="AS196" s="39"/>
      <c r="AT196" s="39"/>
      <c r="AU196" s="172">
        <f>AT196</f>
        <v>0</v>
      </c>
      <c r="AV196" s="39"/>
      <c r="AW196" s="39"/>
      <c r="AX196" s="39"/>
      <c r="AY196" s="39"/>
      <c r="AZ196" s="172">
        <f>AY196</f>
        <v>0</v>
      </c>
      <c r="BA196" s="39"/>
      <c r="BB196" s="39"/>
      <c r="BC196" s="39"/>
      <c r="BD196" s="39"/>
      <c r="BE196" s="172">
        <f>BD196</f>
        <v>0</v>
      </c>
      <c r="BF196" s="39"/>
      <c r="BG196" s="39"/>
      <c r="BH196" s="39"/>
      <c r="BI196" s="39"/>
      <c r="BJ196" s="172">
        <f>BI196</f>
        <v>0</v>
      </c>
      <c r="BK196" s="39"/>
      <c r="BL196" s="39"/>
      <c r="BM196" s="39"/>
      <c r="BN196" s="420">
        <f>BM196</f>
        <v>0</v>
      </c>
      <c r="BO196" s="421">
        <f>BN196</f>
        <v>0</v>
      </c>
      <c r="BP196" s="420">
        <f t="shared" si="316"/>
        <v>0</v>
      </c>
      <c r="BQ196" s="420">
        <f t="shared" si="316"/>
        <v>0</v>
      </c>
      <c r="BR196" s="420">
        <f t="shared" si="316"/>
        <v>0</v>
      </c>
      <c r="BS196" s="420">
        <f t="shared" si="316"/>
        <v>0</v>
      </c>
      <c r="BT196" s="421">
        <f>BS196</f>
        <v>0</v>
      </c>
    </row>
    <row r="197" spans="1:72" s="182" customFormat="1" ht="13">
      <c r="A197" s="676">
        <f t="shared" si="265"/>
        <v>191</v>
      </c>
      <c r="B197" s="34" t="s">
        <v>282</v>
      </c>
      <c r="C197" s="33"/>
      <c r="D197" s="33"/>
      <c r="E197" s="145">
        <f t="shared" ref="E197:P197" si="317">SUM(E191:E196)</f>
        <v>0</v>
      </c>
      <c r="F197" s="145">
        <f t="shared" si="317"/>
        <v>0</v>
      </c>
      <c r="G197" s="145">
        <f t="shared" si="317"/>
        <v>0</v>
      </c>
      <c r="H197" s="37">
        <f t="shared" si="317"/>
        <v>0</v>
      </c>
      <c r="I197" s="37">
        <f t="shared" si="317"/>
        <v>0</v>
      </c>
      <c r="J197" s="37">
        <f t="shared" si="317"/>
        <v>0</v>
      </c>
      <c r="K197" s="37">
        <f t="shared" si="317"/>
        <v>0</v>
      </c>
      <c r="L197" s="145">
        <f t="shared" si="317"/>
        <v>0</v>
      </c>
      <c r="M197" s="37">
        <f t="shared" si="317"/>
        <v>0</v>
      </c>
      <c r="N197" s="37">
        <f t="shared" si="317"/>
        <v>0</v>
      </c>
      <c r="O197" s="37">
        <f t="shared" si="317"/>
        <v>0</v>
      </c>
      <c r="P197" s="37">
        <f t="shared" si="317"/>
        <v>0</v>
      </c>
      <c r="Q197" s="145">
        <f t="shared" ref="Q197:AF197" si="318">SUM(Q191:Q196)</f>
        <v>0</v>
      </c>
      <c r="R197" s="37">
        <f t="shared" si="318"/>
        <v>0</v>
      </c>
      <c r="S197" s="37">
        <f t="shared" si="318"/>
        <v>0</v>
      </c>
      <c r="T197" s="37">
        <f t="shared" si="318"/>
        <v>0</v>
      </c>
      <c r="U197" s="37">
        <f t="shared" si="318"/>
        <v>0</v>
      </c>
      <c r="V197" s="145">
        <f t="shared" si="318"/>
        <v>0</v>
      </c>
      <c r="W197" s="37">
        <f t="shared" si="318"/>
        <v>0</v>
      </c>
      <c r="X197" s="37">
        <f t="shared" si="318"/>
        <v>0</v>
      </c>
      <c r="Y197" s="37">
        <f t="shared" si="318"/>
        <v>0</v>
      </c>
      <c r="Z197" s="37">
        <f t="shared" si="318"/>
        <v>0</v>
      </c>
      <c r="AA197" s="145">
        <f t="shared" si="318"/>
        <v>0</v>
      </c>
      <c r="AB197" s="37">
        <f t="shared" si="318"/>
        <v>0</v>
      </c>
      <c r="AC197" s="37">
        <f>SUM(AC191:AC196)</f>
        <v>0</v>
      </c>
      <c r="AD197" s="37">
        <f>SUM(AD191:AD196)</f>
        <v>0</v>
      </c>
      <c r="AE197" s="37">
        <f>SUM(AE191:AE196)</f>
        <v>0</v>
      </c>
      <c r="AF197" s="145">
        <f t="shared" si="318"/>
        <v>0</v>
      </c>
      <c r="AG197" s="37">
        <f t="shared" ref="AG197:AQ197" si="319">SUM(AG191:AG196)</f>
        <v>0</v>
      </c>
      <c r="AH197" s="37">
        <f t="shared" si="319"/>
        <v>0</v>
      </c>
      <c r="AI197" s="37">
        <f t="shared" si="319"/>
        <v>0</v>
      </c>
      <c r="AJ197" s="37">
        <f t="shared" si="319"/>
        <v>0</v>
      </c>
      <c r="AK197" s="145">
        <f t="shared" si="319"/>
        <v>0</v>
      </c>
      <c r="AL197" s="37">
        <f t="shared" si="319"/>
        <v>0</v>
      </c>
      <c r="AM197" s="37">
        <f t="shared" si="319"/>
        <v>0</v>
      </c>
      <c r="AN197" s="37">
        <f t="shared" si="319"/>
        <v>0</v>
      </c>
      <c r="AO197" s="37">
        <f t="shared" si="319"/>
        <v>0</v>
      </c>
      <c r="AP197" s="145">
        <f t="shared" si="319"/>
        <v>0</v>
      </c>
      <c r="AQ197" s="37">
        <f t="shared" si="319"/>
        <v>0</v>
      </c>
      <c r="AR197" s="37">
        <f t="shared" ref="AR197:AW197" si="320">SUM(AR191:AR196)</f>
        <v>0</v>
      </c>
      <c r="AS197" s="37">
        <f t="shared" si="320"/>
        <v>0</v>
      </c>
      <c r="AT197" s="37">
        <f t="shared" si="320"/>
        <v>0</v>
      </c>
      <c r="AU197" s="145">
        <f t="shared" si="320"/>
        <v>0</v>
      </c>
      <c r="AV197" s="37">
        <f t="shared" si="320"/>
        <v>0</v>
      </c>
      <c r="AW197" s="37">
        <f t="shared" si="320"/>
        <v>0</v>
      </c>
      <c r="AX197" s="37">
        <f t="shared" ref="AX197:BG197" si="321">SUM(AX191:AX196)</f>
        <v>0</v>
      </c>
      <c r="AY197" s="37">
        <f t="shared" si="321"/>
        <v>0</v>
      </c>
      <c r="AZ197" s="145">
        <f t="shared" si="321"/>
        <v>0</v>
      </c>
      <c r="BA197" s="37">
        <f t="shared" si="321"/>
        <v>0</v>
      </c>
      <c r="BB197" s="37">
        <f t="shared" si="321"/>
        <v>0</v>
      </c>
      <c r="BC197" s="37">
        <f t="shared" si="321"/>
        <v>0</v>
      </c>
      <c r="BD197" s="37">
        <f t="shared" si="321"/>
        <v>0</v>
      </c>
      <c r="BE197" s="145">
        <f t="shared" si="321"/>
        <v>0</v>
      </c>
      <c r="BF197" s="37">
        <f t="shared" si="321"/>
        <v>0</v>
      </c>
      <c r="BG197" s="37">
        <f t="shared" si="321"/>
        <v>0</v>
      </c>
      <c r="BH197" s="37">
        <f t="shared" ref="BH197:BT197" si="322">SUM(BH191:BH196)</f>
        <v>0</v>
      </c>
      <c r="BI197" s="37">
        <f t="shared" si="322"/>
        <v>0</v>
      </c>
      <c r="BJ197" s="145">
        <f t="shared" si="322"/>
        <v>0</v>
      </c>
      <c r="BK197" s="37">
        <f t="shared" si="322"/>
        <v>0</v>
      </c>
      <c r="BL197" s="37">
        <f t="shared" si="322"/>
        <v>0</v>
      </c>
      <c r="BM197" s="37">
        <f>SUM(BM191:BM196)</f>
        <v>0</v>
      </c>
      <c r="BN197" s="416" t="e">
        <f t="shared" si="322"/>
        <v>#DIV/0!</v>
      </c>
      <c r="BO197" s="417" t="e">
        <f t="shared" si="322"/>
        <v>#DIV/0!</v>
      </c>
      <c r="BP197" s="416" t="e">
        <f t="shared" si="322"/>
        <v>#DIV/0!</v>
      </c>
      <c r="BQ197" s="416" t="e">
        <f t="shared" si="322"/>
        <v>#DIV/0!</v>
      </c>
      <c r="BR197" s="416" t="e">
        <f t="shared" si="322"/>
        <v>#DIV/0!</v>
      </c>
      <c r="BS197" s="416" t="e">
        <f t="shared" si="322"/>
        <v>#DIV/0!</v>
      </c>
      <c r="BT197" s="417" t="e">
        <f t="shared" si="322"/>
        <v>#DIV/0!</v>
      </c>
    </row>
    <row r="198" spans="1:72" s="182" customFormat="1" ht="13">
      <c r="A198" s="676">
        <f t="shared" si="265"/>
        <v>192</v>
      </c>
      <c r="B198" s="34"/>
      <c r="C198" s="33"/>
      <c r="D198" s="33"/>
      <c r="E198" s="145"/>
      <c r="F198" s="145"/>
      <c r="G198" s="145"/>
      <c r="H198" s="37"/>
      <c r="I198" s="37"/>
      <c r="J198" s="37"/>
      <c r="K198" s="37"/>
      <c r="L198" s="145"/>
      <c r="M198" s="37"/>
      <c r="N198" s="37"/>
      <c r="O198" s="37"/>
      <c r="P198" s="37"/>
      <c r="Q198" s="145"/>
      <c r="R198" s="37"/>
      <c r="S198" s="37"/>
      <c r="T198" s="37"/>
      <c r="U198" s="37"/>
      <c r="V198" s="145"/>
      <c r="W198" s="37"/>
      <c r="X198" s="37"/>
      <c r="Y198" s="37"/>
      <c r="Z198" s="37"/>
      <c r="AA198" s="145"/>
      <c r="AB198" s="37"/>
      <c r="AC198" s="37"/>
      <c r="AD198" s="37"/>
      <c r="AE198" s="37"/>
      <c r="AF198" s="145"/>
      <c r="AG198" s="37"/>
      <c r="AH198" s="37"/>
      <c r="AI198" s="37"/>
      <c r="AJ198" s="37"/>
      <c r="AK198" s="145"/>
      <c r="AL198" s="37"/>
      <c r="AM198" s="37"/>
      <c r="AN198" s="37"/>
      <c r="AO198" s="37"/>
      <c r="AP198" s="145"/>
      <c r="AQ198" s="37"/>
      <c r="AR198" s="37"/>
      <c r="AS198" s="37"/>
      <c r="AT198" s="37"/>
      <c r="AU198" s="145"/>
      <c r="AV198" s="37"/>
      <c r="AW198" s="37"/>
      <c r="AX198" s="37"/>
      <c r="AY198" s="37"/>
      <c r="AZ198" s="145"/>
      <c r="BA198" s="37"/>
      <c r="BB198" s="37"/>
      <c r="BC198" s="37"/>
      <c r="BD198" s="37"/>
      <c r="BE198" s="145"/>
      <c r="BF198" s="37"/>
      <c r="BG198" s="37"/>
      <c r="BH198" s="37"/>
      <c r="BI198" s="37"/>
      <c r="BJ198" s="145"/>
      <c r="BK198" s="37"/>
      <c r="BL198" s="37"/>
      <c r="BM198" s="37"/>
      <c r="BN198" s="416"/>
      <c r="BO198" s="417"/>
      <c r="BP198" s="416"/>
      <c r="BQ198" s="416"/>
      <c r="BR198" s="416"/>
      <c r="BS198" s="416"/>
      <c r="BT198" s="417"/>
    </row>
    <row r="199" spans="1:72" s="182" customFormat="1" ht="13">
      <c r="A199" s="676">
        <f t="shared" si="265"/>
        <v>193</v>
      </c>
      <c r="B199" s="220" t="s">
        <v>283</v>
      </c>
      <c r="C199" s="33"/>
      <c r="D199" s="33"/>
      <c r="E199" s="145"/>
      <c r="F199" s="145"/>
      <c r="G199" s="145"/>
      <c r="H199" s="37"/>
      <c r="I199" s="37"/>
      <c r="J199" s="37"/>
      <c r="K199" s="37"/>
      <c r="L199" s="145"/>
      <c r="M199" s="37"/>
      <c r="N199" s="37"/>
      <c r="O199" s="37"/>
      <c r="P199" s="37"/>
      <c r="Q199" s="145"/>
      <c r="R199" s="37"/>
      <c r="S199" s="37"/>
      <c r="T199" s="37"/>
      <c r="U199" s="37"/>
      <c r="V199" s="145"/>
      <c r="W199" s="37"/>
      <c r="X199" s="37"/>
      <c r="Y199" s="37"/>
      <c r="Z199" s="37"/>
      <c r="AA199" s="145"/>
      <c r="AB199" s="37"/>
      <c r="AC199" s="37"/>
      <c r="AD199" s="37"/>
      <c r="AE199" s="37"/>
      <c r="AF199" s="145">
        <f>AE199</f>
        <v>0</v>
      </c>
      <c r="AG199" s="37"/>
      <c r="AH199" s="37"/>
      <c r="AI199" s="37"/>
      <c r="AJ199" s="37"/>
      <c r="AK199" s="145">
        <f>AJ199</f>
        <v>0</v>
      </c>
      <c r="AL199" s="37"/>
      <c r="AM199" s="37"/>
      <c r="AN199" s="37"/>
      <c r="AO199" s="37"/>
      <c r="AP199" s="145">
        <f>AO199</f>
        <v>0</v>
      </c>
      <c r="AQ199" s="37"/>
      <c r="AR199" s="37"/>
      <c r="AS199" s="37"/>
      <c r="AT199" s="37"/>
      <c r="AU199" s="145">
        <f>AT199</f>
        <v>0</v>
      </c>
      <c r="AV199" s="37"/>
      <c r="AW199" s="37"/>
      <c r="AX199" s="37"/>
      <c r="AY199" s="37"/>
      <c r="AZ199" s="145">
        <f>AY199</f>
        <v>0</v>
      </c>
      <c r="BA199" s="37"/>
      <c r="BB199" s="37"/>
      <c r="BC199" s="37"/>
      <c r="BD199" s="37"/>
      <c r="BE199" s="145">
        <f>BD199</f>
        <v>0</v>
      </c>
      <c r="BF199" s="37"/>
      <c r="BG199" s="37"/>
      <c r="BH199" s="37"/>
      <c r="BI199" s="37"/>
      <c r="BJ199" s="145">
        <f>BI199</f>
        <v>0</v>
      </c>
      <c r="BK199" s="37"/>
      <c r="BL199" s="37"/>
      <c r="BM199" s="37"/>
      <c r="BN199" s="416" t="e">
        <f>BN243*BN64*4</f>
        <v>#DIV/0!</v>
      </c>
      <c r="BO199" s="417" t="e">
        <f>BN199</f>
        <v>#DIV/0!</v>
      </c>
      <c r="BP199" s="416" t="e">
        <f>BP243*BP64*4</f>
        <v>#DIV/0!</v>
      </c>
      <c r="BQ199" s="416" t="e">
        <f>BQ243*BQ64*4</f>
        <v>#DIV/0!</v>
      </c>
      <c r="BR199" s="416" t="e">
        <f>BR243*BR64*4</f>
        <v>#DIV/0!</v>
      </c>
      <c r="BS199" s="416" t="e">
        <f>BS243*BS64*4</f>
        <v>#DIV/0!</v>
      </c>
      <c r="BT199" s="417" t="e">
        <f>BS199</f>
        <v>#DIV/0!</v>
      </c>
    </row>
    <row r="200" spans="1:72" s="182" customFormat="1" ht="13">
      <c r="A200" s="676">
        <f t="shared" si="265"/>
        <v>194</v>
      </c>
      <c r="B200" s="220" t="s">
        <v>284</v>
      </c>
      <c r="C200" s="33"/>
      <c r="D200" s="33"/>
      <c r="E200" s="145"/>
      <c r="F200" s="145"/>
      <c r="G200" s="145"/>
      <c r="H200" s="37"/>
      <c r="I200" s="37"/>
      <c r="J200" s="37"/>
      <c r="K200" s="37"/>
      <c r="L200" s="145"/>
      <c r="M200" s="37"/>
      <c r="N200" s="37"/>
      <c r="O200" s="37"/>
      <c r="P200" s="37"/>
      <c r="Q200" s="145"/>
      <c r="R200" s="37"/>
      <c r="S200" s="37"/>
      <c r="T200" s="37"/>
      <c r="U200" s="37"/>
      <c r="V200" s="145"/>
      <c r="W200" s="37"/>
      <c r="X200" s="37"/>
      <c r="Y200" s="37"/>
      <c r="Z200" s="37"/>
      <c r="AA200" s="145"/>
      <c r="AB200" s="37"/>
      <c r="AC200" s="37"/>
      <c r="AD200" s="37"/>
      <c r="AE200" s="37"/>
      <c r="AF200" s="145">
        <f>AE200</f>
        <v>0</v>
      </c>
      <c r="AG200" s="37"/>
      <c r="AH200" s="37"/>
      <c r="AI200" s="37"/>
      <c r="AJ200" s="37"/>
      <c r="AK200" s="145">
        <f>AJ200</f>
        <v>0</v>
      </c>
      <c r="AL200" s="37"/>
      <c r="AM200" s="37"/>
      <c r="AN200" s="37"/>
      <c r="AO200" s="37"/>
      <c r="AP200" s="145">
        <f>AO200</f>
        <v>0</v>
      </c>
      <c r="AQ200" s="37"/>
      <c r="AR200" s="37"/>
      <c r="AS200" s="37"/>
      <c r="AT200" s="37"/>
      <c r="AU200" s="145">
        <f>AT200</f>
        <v>0</v>
      </c>
      <c r="AV200" s="37"/>
      <c r="AW200" s="37"/>
      <c r="AX200" s="37"/>
      <c r="AY200" s="37"/>
      <c r="AZ200" s="145">
        <f>AY200</f>
        <v>0</v>
      </c>
      <c r="BA200" s="37"/>
      <c r="BB200" s="37"/>
      <c r="BC200" s="37"/>
      <c r="BD200" s="37"/>
      <c r="BE200" s="145">
        <f>BD200</f>
        <v>0</v>
      </c>
      <c r="BF200" s="37"/>
      <c r="BG200" s="37"/>
      <c r="BH200" s="37"/>
      <c r="BI200" s="37"/>
      <c r="BJ200" s="145">
        <f>BI200</f>
        <v>0</v>
      </c>
      <c r="BK200" s="37"/>
      <c r="BL200" s="37"/>
      <c r="BM200" s="37"/>
      <c r="BN200" s="416" t="e">
        <f>BN247*BN64*4</f>
        <v>#DIV/0!</v>
      </c>
      <c r="BO200" s="417" t="e">
        <f>BN200</f>
        <v>#DIV/0!</v>
      </c>
      <c r="BP200" s="416" t="e">
        <f>BP247*BP64*4</f>
        <v>#DIV/0!</v>
      </c>
      <c r="BQ200" s="416" t="e">
        <f>BQ247*BQ64*4</f>
        <v>#DIV/0!</v>
      </c>
      <c r="BR200" s="416" t="e">
        <f>BR247*BR64*4</f>
        <v>#DIV/0!</v>
      </c>
      <c r="BS200" s="416" t="e">
        <f>BS247*BS64*4</f>
        <v>#DIV/0!</v>
      </c>
      <c r="BT200" s="417" t="e">
        <f>BS200</f>
        <v>#DIV/0!</v>
      </c>
    </row>
    <row r="201" spans="1:72" s="182" customFormat="1" ht="13">
      <c r="A201" s="676">
        <f t="shared" ref="A201:A260" si="323">+A200+1</f>
        <v>195</v>
      </c>
      <c r="B201" s="220" t="s">
        <v>285</v>
      </c>
      <c r="C201" s="33"/>
      <c r="D201" s="33"/>
      <c r="E201" s="145"/>
      <c r="F201" s="145"/>
      <c r="G201" s="145"/>
      <c r="H201" s="37"/>
      <c r="I201" s="37"/>
      <c r="J201" s="37"/>
      <c r="K201" s="37"/>
      <c r="L201" s="145"/>
      <c r="M201" s="37"/>
      <c r="N201" s="37"/>
      <c r="O201" s="37"/>
      <c r="P201" s="37"/>
      <c r="Q201" s="145"/>
      <c r="R201" s="37"/>
      <c r="S201" s="37"/>
      <c r="T201" s="37"/>
      <c r="U201" s="37"/>
      <c r="V201" s="145"/>
      <c r="W201" s="37"/>
      <c r="X201" s="37"/>
      <c r="Y201" s="37"/>
      <c r="Z201" s="37"/>
      <c r="AA201" s="145"/>
      <c r="AB201" s="37"/>
      <c r="AC201" s="37"/>
      <c r="AD201" s="37"/>
      <c r="AE201" s="37"/>
      <c r="AF201" s="145">
        <f>AE201</f>
        <v>0</v>
      </c>
      <c r="AG201" s="37"/>
      <c r="AH201" s="37"/>
      <c r="AI201" s="37"/>
      <c r="AJ201" s="37"/>
      <c r="AK201" s="145">
        <f>AJ201</f>
        <v>0</v>
      </c>
      <c r="AL201" s="37"/>
      <c r="AM201" s="37"/>
      <c r="AN201" s="37"/>
      <c r="AO201" s="37"/>
      <c r="AP201" s="145">
        <f>AO201</f>
        <v>0</v>
      </c>
      <c r="AQ201" s="37"/>
      <c r="AR201" s="37"/>
      <c r="AS201" s="37"/>
      <c r="AT201" s="37"/>
      <c r="AU201" s="145">
        <f>AT201</f>
        <v>0</v>
      </c>
      <c r="AV201" s="37"/>
      <c r="AW201" s="37"/>
      <c r="AX201" s="37"/>
      <c r="AY201" s="37"/>
      <c r="AZ201" s="145">
        <f>AY201</f>
        <v>0</v>
      </c>
      <c r="BA201" s="37"/>
      <c r="BB201" s="37"/>
      <c r="BC201" s="37"/>
      <c r="BD201" s="37"/>
      <c r="BE201" s="145">
        <f>BD201</f>
        <v>0</v>
      </c>
      <c r="BF201" s="37"/>
      <c r="BG201" s="37"/>
      <c r="BH201" s="37"/>
      <c r="BI201" s="37"/>
      <c r="BJ201" s="145">
        <f>BI201</f>
        <v>0</v>
      </c>
      <c r="BK201" s="37"/>
      <c r="BL201" s="37"/>
      <c r="BM201" s="37"/>
      <c r="BN201" s="416" t="e">
        <f>BN251*BN64*4</f>
        <v>#DIV/0!</v>
      </c>
      <c r="BO201" s="417" t="e">
        <f>BN201</f>
        <v>#DIV/0!</v>
      </c>
      <c r="BP201" s="416" t="e">
        <f>BP251*BP64*4</f>
        <v>#DIV/0!</v>
      </c>
      <c r="BQ201" s="416" t="e">
        <f>BQ251*BQ64*4</f>
        <v>#DIV/0!</v>
      </c>
      <c r="BR201" s="416" t="e">
        <f>BR251*BR64*4</f>
        <v>#DIV/0!</v>
      </c>
      <c r="BS201" s="416" t="e">
        <f>BS251*BS64*4</f>
        <v>#DIV/0!</v>
      </c>
      <c r="BT201" s="417" t="e">
        <f>BS201</f>
        <v>#DIV/0!</v>
      </c>
    </row>
    <row r="202" spans="1:72" s="182" customFormat="1" ht="13">
      <c r="A202" s="676">
        <f t="shared" si="323"/>
        <v>196</v>
      </c>
      <c r="B202" s="220" t="s">
        <v>286</v>
      </c>
      <c r="C202" s="33"/>
      <c r="D202" s="33"/>
      <c r="E202" s="145"/>
      <c r="F202" s="145"/>
      <c r="G202" s="145"/>
      <c r="H202" s="37"/>
      <c r="I202" s="37"/>
      <c r="J202" s="37"/>
      <c r="K202" s="37"/>
      <c r="L202" s="145"/>
      <c r="M202" s="37"/>
      <c r="N202" s="37"/>
      <c r="O202" s="37"/>
      <c r="P202" s="37"/>
      <c r="Q202" s="145"/>
      <c r="R202" s="37"/>
      <c r="S202" s="37"/>
      <c r="T202" s="37"/>
      <c r="U202" s="37"/>
      <c r="V202" s="145"/>
      <c r="W202" s="37"/>
      <c r="X202" s="37"/>
      <c r="Y202" s="37"/>
      <c r="Z202" s="37"/>
      <c r="AA202" s="145"/>
      <c r="AB202" s="37"/>
      <c r="AC202" s="37"/>
      <c r="AD202" s="37"/>
      <c r="AE202" s="37"/>
      <c r="AF202" s="145"/>
      <c r="AG202" s="37"/>
      <c r="AH202" s="37"/>
      <c r="AI202" s="37"/>
      <c r="AJ202" s="37"/>
      <c r="AK202" s="145"/>
      <c r="AL202" s="37"/>
      <c r="AM202" s="37"/>
      <c r="AN202" s="37"/>
      <c r="AO202" s="37"/>
      <c r="AP202" s="145"/>
      <c r="AQ202" s="37"/>
      <c r="AR202" s="37"/>
      <c r="AS202" s="37"/>
      <c r="AT202" s="37"/>
      <c r="AU202" s="145"/>
      <c r="AV202" s="37"/>
      <c r="AW202" s="37"/>
      <c r="AX202" s="37"/>
      <c r="AY202" s="37"/>
      <c r="AZ202" s="145"/>
      <c r="BA202" s="37"/>
      <c r="BB202" s="37"/>
      <c r="BC202" s="37"/>
      <c r="BD202" s="37"/>
      <c r="BE202" s="145"/>
      <c r="BF202" s="37"/>
      <c r="BG202" s="37"/>
      <c r="BH202" s="37"/>
      <c r="BI202" s="37"/>
      <c r="BJ202" s="145"/>
      <c r="BK202" s="37"/>
      <c r="BL202" s="37"/>
      <c r="BM202" s="37"/>
      <c r="BN202" s="416"/>
      <c r="BO202" s="417"/>
      <c r="BP202" s="416"/>
      <c r="BQ202" s="416"/>
      <c r="BR202" s="416"/>
      <c r="BS202" s="416"/>
      <c r="BT202" s="417"/>
    </row>
    <row r="203" spans="1:72" s="182" customFormat="1" ht="13">
      <c r="A203" s="676">
        <f t="shared" si="323"/>
        <v>197</v>
      </c>
      <c r="B203" s="220" t="s">
        <v>287</v>
      </c>
      <c r="C203" s="33"/>
      <c r="D203" s="33"/>
      <c r="E203" s="172"/>
      <c r="F203" s="172"/>
      <c r="G203" s="172"/>
      <c r="H203" s="39"/>
      <c r="I203" s="39"/>
      <c r="J203" s="39"/>
      <c r="K203" s="39"/>
      <c r="L203" s="172"/>
      <c r="M203" s="39"/>
      <c r="N203" s="39"/>
      <c r="O203" s="39"/>
      <c r="P203" s="39"/>
      <c r="Q203" s="172"/>
      <c r="R203" s="39"/>
      <c r="S203" s="39"/>
      <c r="T203" s="39"/>
      <c r="U203" s="39"/>
      <c r="V203" s="172"/>
      <c r="W203" s="39"/>
      <c r="X203" s="39"/>
      <c r="Y203" s="39"/>
      <c r="Z203" s="39"/>
      <c r="AA203" s="172"/>
      <c r="AB203" s="39"/>
      <c r="AC203" s="39"/>
      <c r="AD203" s="39"/>
      <c r="AE203" s="39"/>
      <c r="AF203" s="172">
        <f>AE203</f>
        <v>0</v>
      </c>
      <c r="AG203" s="39"/>
      <c r="AH203" s="39"/>
      <c r="AI203" s="39"/>
      <c r="AJ203" s="39"/>
      <c r="AK203" s="172">
        <f>AJ203</f>
        <v>0</v>
      </c>
      <c r="AL203" s="39"/>
      <c r="AM203" s="39"/>
      <c r="AN203" s="39"/>
      <c r="AO203" s="39"/>
      <c r="AP203" s="172">
        <f>AO203</f>
        <v>0</v>
      </c>
      <c r="AQ203" s="39"/>
      <c r="AR203" s="39"/>
      <c r="AS203" s="39"/>
      <c r="AT203" s="39"/>
      <c r="AU203" s="172">
        <f>AT203</f>
        <v>0</v>
      </c>
      <c r="AV203" s="39"/>
      <c r="AW203" s="39"/>
      <c r="AX203" s="39"/>
      <c r="AY203" s="39"/>
      <c r="AZ203" s="172">
        <f>AY203</f>
        <v>0</v>
      </c>
      <c r="BA203" s="39"/>
      <c r="BB203" s="39"/>
      <c r="BC203" s="39"/>
      <c r="BD203" s="39"/>
      <c r="BE203" s="172">
        <f>BD203</f>
        <v>0</v>
      </c>
      <c r="BF203" s="39"/>
      <c r="BG203" s="39"/>
      <c r="BH203" s="39"/>
      <c r="BI203" s="39"/>
      <c r="BJ203" s="172">
        <f>BI203</f>
        <v>0</v>
      </c>
      <c r="BK203" s="39"/>
      <c r="BL203" s="39"/>
      <c r="BM203" s="39"/>
      <c r="BN203" s="420">
        <f t="shared" ref="BN203:BT203" si="324">BM203</f>
        <v>0</v>
      </c>
      <c r="BO203" s="421">
        <f t="shared" si="324"/>
        <v>0</v>
      </c>
      <c r="BP203" s="420">
        <f t="shared" si="324"/>
        <v>0</v>
      </c>
      <c r="BQ203" s="420">
        <f t="shared" si="324"/>
        <v>0</v>
      </c>
      <c r="BR203" s="420">
        <f t="shared" si="324"/>
        <v>0</v>
      </c>
      <c r="BS203" s="420">
        <f t="shared" si="324"/>
        <v>0</v>
      </c>
      <c r="BT203" s="421">
        <f t="shared" si="324"/>
        <v>0</v>
      </c>
    </row>
    <row r="204" spans="1:72" s="182" customFormat="1" ht="13">
      <c r="A204" s="676">
        <f t="shared" si="323"/>
        <v>198</v>
      </c>
      <c r="B204" s="34" t="s">
        <v>288</v>
      </c>
      <c r="C204" s="33"/>
      <c r="D204" s="33"/>
      <c r="E204" s="145">
        <f t="shared" ref="E204:V204" si="325">SUM(E199:E203)</f>
        <v>0</v>
      </c>
      <c r="F204" s="145">
        <f t="shared" si="325"/>
        <v>0</v>
      </c>
      <c r="G204" s="145">
        <f t="shared" si="325"/>
        <v>0</v>
      </c>
      <c r="H204" s="37">
        <f t="shared" si="325"/>
        <v>0</v>
      </c>
      <c r="I204" s="37">
        <f t="shared" si="325"/>
        <v>0</v>
      </c>
      <c r="J204" s="37">
        <f t="shared" si="325"/>
        <v>0</v>
      </c>
      <c r="K204" s="37">
        <f t="shared" si="325"/>
        <v>0</v>
      </c>
      <c r="L204" s="145">
        <f t="shared" si="325"/>
        <v>0</v>
      </c>
      <c r="M204" s="37">
        <f t="shared" si="325"/>
        <v>0</v>
      </c>
      <c r="N204" s="37">
        <f t="shared" si="325"/>
        <v>0</v>
      </c>
      <c r="O204" s="37">
        <f t="shared" si="325"/>
        <v>0</v>
      </c>
      <c r="P204" s="37">
        <f t="shared" si="325"/>
        <v>0</v>
      </c>
      <c r="Q204" s="145">
        <f t="shared" si="325"/>
        <v>0</v>
      </c>
      <c r="R204" s="37">
        <f t="shared" si="325"/>
        <v>0</v>
      </c>
      <c r="S204" s="37">
        <f t="shared" si="325"/>
        <v>0</v>
      </c>
      <c r="T204" s="37">
        <f t="shared" si="325"/>
        <v>0</v>
      </c>
      <c r="U204" s="37">
        <f t="shared" si="325"/>
        <v>0</v>
      </c>
      <c r="V204" s="145">
        <f t="shared" si="325"/>
        <v>0</v>
      </c>
      <c r="W204" s="37">
        <f t="shared" ref="W204:AF204" si="326">SUM(W199:W203)</f>
        <v>0</v>
      </c>
      <c r="X204" s="37">
        <f t="shared" si="326"/>
        <v>0</v>
      </c>
      <c r="Y204" s="37">
        <f t="shared" si="326"/>
        <v>0</v>
      </c>
      <c r="Z204" s="37">
        <f>SUM(Z199:Z203)</f>
        <v>0</v>
      </c>
      <c r="AA204" s="145">
        <f>SUM(AA199:AA203)</f>
        <v>0</v>
      </c>
      <c r="AB204" s="37">
        <f t="shared" si="326"/>
        <v>0</v>
      </c>
      <c r="AC204" s="37">
        <f>SUM(AC199:AC203)</f>
        <v>0</v>
      </c>
      <c r="AD204" s="37">
        <f>SUM(AD199:AD203)</f>
        <v>0</v>
      </c>
      <c r="AE204" s="37">
        <f>SUM(AE199:AE203)</f>
        <v>0</v>
      </c>
      <c r="AF204" s="145">
        <f t="shared" si="326"/>
        <v>0</v>
      </c>
      <c r="AG204" s="37">
        <f t="shared" ref="AG204:AQ204" si="327">SUM(AG199:AG203)</f>
        <v>0</v>
      </c>
      <c r="AH204" s="37">
        <f t="shared" si="327"/>
        <v>0</v>
      </c>
      <c r="AI204" s="37">
        <f t="shared" si="327"/>
        <v>0</v>
      </c>
      <c r="AJ204" s="37">
        <f t="shared" si="327"/>
        <v>0</v>
      </c>
      <c r="AK204" s="145">
        <f t="shared" si="327"/>
        <v>0</v>
      </c>
      <c r="AL204" s="37">
        <f t="shared" si="327"/>
        <v>0</v>
      </c>
      <c r="AM204" s="37">
        <f t="shared" si="327"/>
        <v>0</v>
      </c>
      <c r="AN204" s="37">
        <f t="shared" si="327"/>
        <v>0</v>
      </c>
      <c r="AO204" s="37">
        <f t="shared" si="327"/>
        <v>0</v>
      </c>
      <c r="AP204" s="145">
        <f t="shared" si="327"/>
        <v>0</v>
      </c>
      <c r="AQ204" s="37">
        <f t="shared" si="327"/>
        <v>0</v>
      </c>
      <c r="AR204" s="37">
        <f t="shared" ref="AR204:AW204" si="328">SUM(AR199:AR203)</f>
        <v>0</v>
      </c>
      <c r="AS204" s="37">
        <f t="shared" si="328"/>
        <v>0</v>
      </c>
      <c r="AT204" s="37">
        <f t="shared" si="328"/>
        <v>0</v>
      </c>
      <c r="AU204" s="145">
        <f t="shared" si="328"/>
        <v>0</v>
      </c>
      <c r="AV204" s="37">
        <f t="shared" si="328"/>
        <v>0</v>
      </c>
      <c r="AW204" s="37">
        <f t="shared" si="328"/>
        <v>0</v>
      </c>
      <c r="AX204" s="37">
        <f t="shared" ref="AX204:BG204" si="329">SUM(AX199:AX203)</f>
        <v>0</v>
      </c>
      <c r="AY204" s="37">
        <f t="shared" si="329"/>
        <v>0</v>
      </c>
      <c r="AZ204" s="145">
        <f t="shared" si="329"/>
        <v>0</v>
      </c>
      <c r="BA204" s="37">
        <f t="shared" si="329"/>
        <v>0</v>
      </c>
      <c r="BB204" s="37">
        <f t="shared" si="329"/>
        <v>0</v>
      </c>
      <c r="BC204" s="37">
        <f t="shared" si="329"/>
        <v>0</v>
      </c>
      <c r="BD204" s="37">
        <f t="shared" si="329"/>
        <v>0</v>
      </c>
      <c r="BE204" s="145">
        <f t="shared" si="329"/>
        <v>0</v>
      </c>
      <c r="BF204" s="37">
        <f t="shared" si="329"/>
        <v>0</v>
      </c>
      <c r="BG204" s="37">
        <f t="shared" si="329"/>
        <v>0</v>
      </c>
      <c r="BH204" s="37">
        <f t="shared" ref="BH204:BT204" si="330">SUM(BH199:BH203)</f>
        <v>0</v>
      </c>
      <c r="BI204" s="37">
        <f t="shared" si="330"/>
        <v>0</v>
      </c>
      <c r="BJ204" s="145">
        <f t="shared" si="330"/>
        <v>0</v>
      </c>
      <c r="BK204" s="37">
        <f t="shared" si="330"/>
        <v>0</v>
      </c>
      <c r="BL204" s="37">
        <f t="shared" si="330"/>
        <v>0</v>
      </c>
      <c r="BM204" s="37">
        <f>SUM(BM199:BM203)</f>
        <v>0</v>
      </c>
      <c r="BN204" s="416" t="e">
        <f t="shared" si="330"/>
        <v>#DIV/0!</v>
      </c>
      <c r="BO204" s="417" t="e">
        <f t="shared" si="330"/>
        <v>#DIV/0!</v>
      </c>
      <c r="BP204" s="416" t="e">
        <f t="shared" si="330"/>
        <v>#DIV/0!</v>
      </c>
      <c r="BQ204" s="416" t="e">
        <f t="shared" si="330"/>
        <v>#DIV/0!</v>
      </c>
      <c r="BR204" s="416" t="e">
        <f t="shared" si="330"/>
        <v>#DIV/0!</v>
      </c>
      <c r="BS204" s="416" t="e">
        <f t="shared" si="330"/>
        <v>#DIV/0!</v>
      </c>
      <c r="BT204" s="417" t="e">
        <f t="shared" si="330"/>
        <v>#DIV/0!</v>
      </c>
    </row>
    <row r="205" spans="1:72" s="182" customFormat="1" ht="13">
      <c r="A205" s="676">
        <f t="shared" si="323"/>
        <v>199</v>
      </c>
      <c r="B205" s="33"/>
      <c r="C205" s="33"/>
      <c r="D205" s="33"/>
      <c r="E205" s="145"/>
      <c r="F205" s="145"/>
      <c r="G205" s="145"/>
      <c r="H205" s="37"/>
      <c r="I205" s="37"/>
      <c r="J205" s="37"/>
      <c r="K205" s="37"/>
      <c r="L205" s="145"/>
      <c r="M205" s="37"/>
      <c r="N205" s="37"/>
      <c r="O205" s="37"/>
      <c r="P205" s="37"/>
      <c r="Q205" s="145"/>
      <c r="R205" s="37"/>
      <c r="S205" s="37"/>
      <c r="T205" s="37"/>
      <c r="U205" s="37"/>
      <c r="V205" s="145"/>
      <c r="W205" s="37"/>
      <c r="X205" s="37"/>
      <c r="Y205" s="37"/>
      <c r="Z205" s="37"/>
      <c r="AA205" s="145"/>
      <c r="AB205" s="37"/>
      <c r="AC205" s="37"/>
      <c r="AD205" s="37"/>
      <c r="AE205" s="37"/>
      <c r="AF205" s="145"/>
      <c r="AG205" s="37"/>
      <c r="AH205" s="37"/>
      <c r="AI205" s="37"/>
      <c r="AJ205" s="37"/>
      <c r="AK205" s="145"/>
      <c r="AL205" s="37"/>
      <c r="AM205" s="37"/>
      <c r="AN205" s="37"/>
      <c r="AO205" s="37"/>
      <c r="AP205" s="145"/>
      <c r="AQ205" s="37"/>
      <c r="AR205" s="37"/>
      <c r="AS205" s="37"/>
      <c r="AT205" s="37"/>
      <c r="AU205" s="145"/>
      <c r="AV205" s="37"/>
      <c r="AW205" s="37"/>
      <c r="AX205" s="37"/>
      <c r="AY205" s="37"/>
      <c r="AZ205" s="145"/>
      <c r="BA205" s="37"/>
      <c r="BB205" s="37"/>
      <c r="BC205" s="37"/>
      <c r="BD205" s="37"/>
      <c r="BE205" s="145"/>
      <c r="BF205" s="37"/>
      <c r="BG205" s="37"/>
      <c r="BH205" s="37"/>
      <c r="BI205" s="37"/>
      <c r="BJ205" s="145"/>
      <c r="BK205" s="37"/>
      <c r="BL205" s="37"/>
      <c r="BM205" s="37"/>
      <c r="BN205" s="416"/>
      <c r="BO205" s="417"/>
      <c r="BP205" s="416"/>
      <c r="BQ205" s="416"/>
      <c r="BR205" s="416"/>
      <c r="BS205" s="416"/>
      <c r="BT205" s="417"/>
    </row>
    <row r="206" spans="1:72" s="182" customFormat="1" ht="13">
      <c r="A206" s="676">
        <f t="shared" si="323"/>
        <v>200</v>
      </c>
      <c r="B206" s="220" t="s">
        <v>289</v>
      </c>
      <c r="C206" s="33"/>
      <c r="D206" s="33"/>
      <c r="E206" s="145"/>
      <c r="F206" s="145"/>
      <c r="G206" s="145"/>
      <c r="H206" s="37"/>
      <c r="I206" s="37"/>
      <c r="J206" s="37"/>
      <c r="K206" s="37"/>
      <c r="L206" s="145"/>
      <c r="M206" s="37"/>
      <c r="N206" s="37"/>
      <c r="O206" s="37"/>
      <c r="P206" s="37"/>
      <c r="Q206" s="145"/>
      <c r="R206" s="37"/>
      <c r="S206" s="37"/>
      <c r="T206" s="37"/>
      <c r="U206" s="37"/>
      <c r="V206" s="145"/>
      <c r="W206" s="37"/>
      <c r="X206" s="37"/>
      <c r="Y206" s="37"/>
      <c r="Z206" s="37"/>
      <c r="AA206" s="145"/>
      <c r="AB206" s="37"/>
      <c r="AC206" s="37"/>
      <c r="AD206" s="37"/>
      <c r="AE206" s="37"/>
      <c r="AF206" s="145"/>
      <c r="AG206" s="37"/>
      <c r="AH206" s="37"/>
      <c r="AI206" s="37"/>
      <c r="AJ206" s="37"/>
      <c r="AK206" s="145"/>
      <c r="AL206" s="37"/>
      <c r="AM206" s="37"/>
      <c r="AN206" s="37"/>
      <c r="AO206" s="37"/>
      <c r="AP206" s="145"/>
      <c r="AQ206" s="37"/>
      <c r="AR206" s="37"/>
      <c r="AS206" s="37"/>
      <c r="AT206" s="37"/>
      <c r="AU206" s="145"/>
      <c r="AV206" s="37"/>
      <c r="AW206" s="37"/>
      <c r="AX206" s="37"/>
      <c r="AY206" s="37"/>
      <c r="AZ206" s="145"/>
      <c r="BA206" s="37"/>
      <c r="BB206" s="37"/>
      <c r="BC206" s="37"/>
      <c r="BD206" s="37"/>
      <c r="BE206" s="145"/>
      <c r="BF206" s="37"/>
      <c r="BG206" s="37"/>
      <c r="BH206" s="37"/>
      <c r="BI206" s="37"/>
      <c r="BJ206" s="145"/>
      <c r="BK206" s="37"/>
      <c r="BL206" s="37"/>
      <c r="BM206" s="37"/>
      <c r="BN206" s="416"/>
      <c r="BO206" s="417"/>
      <c r="BP206" s="416"/>
      <c r="BQ206" s="416"/>
      <c r="BR206" s="416"/>
      <c r="BS206" s="416"/>
      <c r="BT206" s="417"/>
    </row>
    <row r="207" spans="1:72" s="182" customFormat="1" ht="13">
      <c r="A207" s="676">
        <f t="shared" si="323"/>
        <v>201</v>
      </c>
      <c r="B207" s="220" t="s">
        <v>290</v>
      </c>
      <c r="C207" s="33"/>
      <c r="D207" s="33"/>
      <c r="E207" s="145"/>
      <c r="F207" s="145"/>
      <c r="G207" s="145"/>
      <c r="H207" s="37"/>
      <c r="I207" s="37"/>
      <c r="J207" s="37"/>
      <c r="K207" s="37"/>
      <c r="L207" s="145"/>
      <c r="M207" s="37"/>
      <c r="N207" s="37"/>
      <c r="O207" s="37"/>
      <c r="P207" s="37"/>
      <c r="Q207" s="145"/>
      <c r="R207" s="37"/>
      <c r="S207" s="37"/>
      <c r="T207" s="37"/>
      <c r="U207" s="37"/>
      <c r="V207" s="145"/>
      <c r="W207" s="37"/>
      <c r="X207" s="37"/>
      <c r="Y207" s="37"/>
      <c r="Z207" s="37"/>
      <c r="AA207" s="145"/>
      <c r="AB207" s="37"/>
      <c r="AC207" s="37"/>
      <c r="AD207" s="37"/>
      <c r="AE207" s="37"/>
      <c r="AF207" s="145">
        <f>AE207</f>
        <v>0</v>
      </c>
      <c r="AG207" s="37"/>
      <c r="AH207" s="37"/>
      <c r="AI207" s="37"/>
      <c r="AJ207" s="37"/>
      <c r="AK207" s="145">
        <f>AJ207</f>
        <v>0</v>
      </c>
      <c r="AL207" s="37"/>
      <c r="AM207" s="37"/>
      <c r="AN207" s="37"/>
      <c r="AO207" s="37"/>
      <c r="AP207" s="145">
        <f>AO207</f>
        <v>0</v>
      </c>
      <c r="AQ207" s="37"/>
      <c r="AR207" s="37"/>
      <c r="AS207" s="37"/>
      <c r="AT207" s="37"/>
      <c r="AU207" s="145">
        <f>AT207</f>
        <v>0</v>
      </c>
      <c r="AV207" s="37"/>
      <c r="AW207" s="37"/>
      <c r="AX207" s="37"/>
      <c r="AY207" s="37"/>
      <c r="AZ207" s="145">
        <f>AY207</f>
        <v>0</v>
      </c>
      <c r="BA207" s="37"/>
      <c r="BB207" s="37"/>
      <c r="BC207" s="37"/>
      <c r="BD207" s="37"/>
      <c r="BE207" s="145">
        <f>BD207</f>
        <v>0</v>
      </c>
      <c r="BF207" s="37"/>
      <c r="BG207" s="37"/>
      <c r="BH207" s="37"/>
      <c r="BI207" s="37"/>
      <c r="BJ207" s="145">
        <f>BI207</f>
        <v>0</v>
      </c>
      <c r="BK207" s="37"/>
      <c r="BL207" s="37"/>
      <c r="BM207" s="37"/>
      <c r="BN207" s="416">
        <f t="shared" ref="BN207:BO208" si="331">BM207</f>
        <v>0</v>
      </c>
      <c r="BO207" s="417">
        <f t="shared" si="331"/>
        <v>0</v>
      </c>
      <c r="BP207" s="416">
        <f t="shared" ref="BP207:BT208" si="332">BO207</f>
        <v>0</v>
      </c>
      <c r="BQ207" s="416">
        <f t="shared" si="332"/>
        <v>0</v>
      </c>
      <c r="BR207" s="416">
        <f t="shared" si="332"/>
        <v>0</v>
      </c>
      <c r="BS207" s="416">
        <f t="shared" si="332"/>
        <v>0</v>
      </c>
      <c r="BT207" s="417">
        <f t="shared" si="332"/>
        <v>0</v>
      </c>
    </row>
    <row r="208" spans="1:72" s="182" customFormat="1" ht="13">
      <c r="A208" s="676">
        <f t="shared" si="323"/>
        <v>202</v>
      </c>
      <c r="B208" s="220" t="s">
        <v>291</v>
      </c>
      <c r="C208" s="33"/>
      <c r="D208" s="33"/>
      <c r="E208" s="172"/>
      <c r="F208" s="172"/>
      <c r="G208" s="172"/>
      <c r="H208" s="39"/>
      <c r="I208" s="39"/>
      <c r="J208" s="39"/>
      <c r="K208" s="39"/>
      <c r="L208" s="172"/>
      <c r="M208" s="39"/>
      <c r="N208" s="39"/>
      <c r="O208" s="39"/>
      <c r="P208" s="39"/>
      <c r="Q208" s="172"/>
      <c r="R208" s="39"/>
      <c r="S208" s="39"/>
      <c r="T208" s="39"/>
      <c r="U208" s="39"/>
      <c r="V208" s="172"/>
      <c r="W208" s="39"/>
      <c r="X208" s="39"/>
      <c r="Y208" s="39"/>
      <c r="Z208" s="39"/>
      <c r="AA208" s="172"/>
      <c r="AB208" s="39"/>
      <c r="AC208" s="39"/>
      <c r="AD208" s="39"/>
      <c r="AE208" s="39"/>
      <c r="AF208" s="172">
        <f>AE208</f>
        <v>0</v>
      </c>
      <c r="AG208" s="39"/>
      <c r="AH208" s="39"/>
      <c r="AI208" s="39"/>
      <c r="AJ208" s="39"/>
      <c r="AK208" s="172">
        <f>AJ208</f>
        <v>0</v>
      </c>
      <c r="AL208" s="39"/>
      <c r="AM208" s="39"/>
      <c r="AN208" s="39"/>
      <c r="AO208" s="39"/>
      <c r="AP208" s="172">
        <f>AO208</f>
        <v>0</v>
      </c>
      <c r="AQ208" s="39"/>
      <c r="AR208" s="39"/>
      <c r="AS208" s="39"/>
      <c r="AT208" s="39"/>
      <c r="AU208" s="172">
        <f>AT208</f>
        <v>0</v>
      </c>
      <c r="AV208" s="39"/>
      <c r="AW208" s="39"/>
      <c r="AX208" s="39"/>
      <c r="AY208" s="39"/>
      <c r="AZ208" s="172">
        <f>AY208</f>
        <v>0</v>
      </c>
      <c r="BA208" s="39"/>
      <c r="BB208" s="39"/>
      <c r="BC208" s="39"/>
      <c r="BD208" s="39"/>
      <c r="BE208" s="172">
        <f>BD208</f>
        <v>0</v>
      </c>
      <c r="BF208" s="39"/>
      <c r="BG208" s="39"/>
      <c r="BH208" s="39"/>
      <c r="BI208" s="39"/>
      <c r="BJ208" s="172">
        <f>BI208</f>
        <v>0</v>
      </c>
      <c r="BK208" s="39"/>
      <c r="BL208" s="39"/>
      <c r="BM208" s="39"/>
      <c r="BN208" s="420">
        <f t="shared" si="331"/>
        <v>0</v>
      </c>
      <c r="BO208" s="421">
        <f t="shared" si="331"/>
        <v>0</v>
      </c>
      <c r="BP208" s="420">
        <f t="shared" si="332"/>
        <v>0</v>
      </c>
      <c r="BQ208" s="420">
        <f t="shared" si="332"/>
        <v>0</v>
      </c>
      <c r="BR208" s="420">
        <f t="shared" si="332"/>
        <v>0</v>
      </c>
      <c r="BS208" s="420">
        <f t="shared" si="332"/>
        <v>0</v>
      </c>
      <c r="BT208" s="421">
        <f t="shared" si="332"/>
        <v>0</v>
      </c>
    </row>
    <row r="209" spans="1:72" s="182" customFormat="1" ht="13">
      <c r="A209" s="676">
        <f t="shared" si="323"/>
        <v>203</v>
      </c>
      <c r="B209" s="34" t="s">
        <v>292</v>
      </c>
      <c r="C209" s="33"/>
      <c r="D209" s="33"/>
      <c r="E209" s="145">
        <f t="shared" ref="E209:P209" si="333">SUM(E204:E208)</f>
        <v>0</v>
      </c>
      <c r="F209" s="145">
        <f t="shared" si="333"/>
        <v>0</v>
      </c>
      <c r="G209" s="145">
        <f t="shared" si="333"/>
        <v>0</v>
      </c>
      <c r="H209" s="37">
        <f t="shared" si="333"/>
        <v>0</v>
      </c>
      <c r="I209" s="37">
        <f t="shared" si="333"/>
        <v>0</v>
      </c>
      <c r="J209" s="37">
        <f t="shared" si="333"/>
        <v>0</v>
      </c>
      <c r="K209" s="37">
        <f t="shared" si="333"/>
        <v>0</v>
      </c>
      <c r="L209" s="145">
        <f t="shared" si="333"/>
        <v>0</v>
      </c>
      <c r="M209" s="37">
        <f t="shared" si="333"/>
        <v>0</v>
      </c>
      <c r="N209" s="37">
        <f t="shared" si="333"/>
        <v>0</v>
      </c>
      <c r="O209" s="37">
        <f t="shared" si="333"/>
        <v>0</v>
      </c>
      <c r="P209" s="37">
        <f t="shared" si="333"/>
        <v>0</v>
      </c>
      <c r="Q209" s="145">
        <f t="shared" ref="Q209:AF209" si="334">SUM(Q204:Q208)</f>
        <v>0</v>
      </c>
      <c r="R209" s="37">
        <f t="shared" si="334"/>
        <v>0</v>
      </c>
      <c r="S209" s="37">
        <f t="shared" si="334"/>
        <v>0</v>
      </c>
      <c r="T209" s="37">
        <f t="shared" si="334"/>
        <v>0</v>
      </c>
      <c r="U209" s="37">
        <f t="shared" si="334"/>
        <v>0</v>
      </c>
      <c r="V209" s="145">
        <f t="shared" si="334"/>
        <v>0</v>
      </c>
      <c r="W209" s="37">
        <f t="shared" si="334"/>
        <v>0</v>
      </c>
      <c r="X209" s="37">
        <f t="shared" si="334"/>
        <v>0</v>
      </c>
      <c r="Y209" s="37">
        <f t="shared" si="334"/>
        <v>0</v>
      </c>
      <c r="Z209" s="37">
        <f t="shared" si="334"/>
        <v>0</v>
      </c>
      <c r="AA209" s="145">
        <f t="shared" si="334"/>
        <v>0</v>
      </c>
      <c r="AB209" s="37">
        <f t="shared" si="334"/>
        <v>0</v>
      </c>
      <c r="AC209" s="37">
        <f>SUM(AC204:AC208)</f>
        <v>0</v>
      </c>
      <c r="AD209" s="37">
        <f>SUM(AD204:AD208)</f>
        <v>0</v>
      </c>
      <c r="AE209" s="37">
        <f>SUM(AE204:AE208)</f>
        <v>0</v>
      </c>
      <c r="AF209" s="145">
        <f t="shared" si="334"/>
        <v>0</v>
      </c>
      <c r="AG209" s="37">
        <f t="shared" ref="AG209:AQ209" si="335">SUM(AG204:AG208)</f>
        <v>0</v>
      </c>
      <c r="AH209" s="37">
        <f t="shared" si="335"/>
        <v>0</v>
      </c>
      <c r="AI209" s="37">
        <f t="shared" si="335"/>
        <v>0</v>
      </c>
      <c r="AJ209" s="37">
        <f t="shared" si="335"/>
        <v>0</v>
      </c>
      <c r="AK209" s="145">
        <f t="shared" si="335"/>
        <v>0</v>
      </c>
      <c r="AL209" s="37">
        <f t="shared" si="335"/>
        <v>0</v>
      </c>
      <c r="AM209" s="37">
        <f t="shared" si="335"/>
        <v>0</v>
      </c>
      <c r="AN209" s="37">
        <f t="shared" si="335"/>
        <v>0</v>
      </c>
      <c r="AO209" s="37">
        <f t="shared" si="335"/>
        <v>0</v>
      </c>
      <c r="AP209" s="145">
        <f t="shared" si="335"/>
        <v>0</v>
      </c>
      <c r="AQ209" s="37">
        <f t="shared" si="335"/>
        <v>0</v>
      </c>
      <c r="AR209" s="37">
        <f t="shared" ref="AR209:AW209" si="336">SUM(AR204:AR208)</f>
        <v>0</v>
      </c>
      <c r="AS209" s="37">
        <f t="shared" si="336"/>
        <v>0</v>
      </c>
      <c r="AT209" s="37">
        <f t="shared" si="336"/>
        <v>0</v>
      </c>
      <c r="AU209" s="145">
        <f t="shared" si="336"/>
        <v>0</v>
      </c>
      <c r="AV209" s="37">
        <f t="shared" si="336"/>
        <v>0</v>
      </c>
      <c r="AW209" s="37">
        <f t="shared" si="336"/>
        <v>0</v>
      </c>
      <c r="AX209" s="37">
        <f t="shared" ref="AX209:BG209" si="337">SUM(AX204:AX208)</f>
        <v>0</v>
      </c>
      <c r="AY209" s="37">
        <f t="shared" si="337"/>
        <v>0</v>
      </c>
      <c r="AZ209" s="145">
        <f t="shared" si="337"/>
        <v>0</v>
      </c>
      <c r="BA209" s="37">
        <f t="shared" si="337"/>
        <v>0</v>
      </c>
      <c r="BB209" s="37">
        <f t="shared" si="337"/>
        <v>0</v>
      </c>
      <c r="BC209" s="37">
        <f t="shared" si="337"/>
        <v>0</v>
      </c>
      <c r="BD209" s="37">
        <f t="shared" si="337"/>
        <v>0</v>
      </c>
      <c r="BE209" s="145">
        <f t="shared" si="337"/>
        <v>0</v>
      </c>
      <c r="BF209" s="37">
        <f t="shared" si="337"/>
        <v>0</v>
      </c>
      <c r="BG209" s="37">
        <f t="shared" si="337"/>
        <v>0</v>
      </c>
      <c r="BH209" s="37">
        <f t="shared" ref="BH209:BT209" si="338">SUM(BH204:BH208)</f>
        <v>0</v>
      </c>
      <c r="BI209" s="37">
        <f t="shared" si="338"/>
        <v>0</v>
      </c>
      <c r="BJ209" s="145">
        <f t="shared" si="338"/>
        <v>0</v>
      </c>
      <c r="BK209" s="37">
        <f t="shared" si="338"/>
        <v>0</v>
      </c>
      <c r="BL209" s="37">
        <f t="shared" si="338"/>
        <v>0</v>
      </c>
      <c r="BM209" s="37">
        <f>SUM(BM204:BM208)</f>
        <v>0</v>
      </c>
      <c r="BN209" s="416" t="e">
        <f t="shared" si="338"/>
        <v>#DIV/0!</v>
      </c>
      <c r="BO209" s="417" t="e">
        <f t="shared" si="338"/>
        <v>#DIV/0!</v>
      </c>
      <c r="BP209" s="416" t="e">
        <f t="shared" si="338"/>
        <v>#DIV/0!</v>
      </c>
      <c r="BQ209" s="416" t="e">
        <f t="shared" si="338"/>
        <v>#DIV/0!</v>
      </c>
      <c r="BR209" s="416" t="e">
        <f t="shared" si="338"/>
        <v>#DIV/0!</v>
      </c>
      <c r="BS209" s="416" t="e">
        <f t="shared" si="338"/>
        <v>#DIV/0!</v>
      </c>
      <c r="BT209" s="417" t="e">
        <f t="shared" si="338"/>
        <v>#DIV/0!</v>
      </c>
    </row>
    <row r="210" spans="1:72" s="182" customFormat="1" ht="13">
      <c r="A210" s="676">
        <f t="shared" si="323"/>
        <v>204</v>
      </c>
      <c r="B210" s="34"/>
      <c r="C210" s="33"/>
      <c r="D210" s="33"/>
      <c r="E210" s="145"/>
      <c r="F210" s="145"/>
      <c r="G210" s="145"/>
      <c r="H210" s="37"/>
      <c r="I210" s="37"/>
      <c r="J210" s="37"/>
      <c r="K210" s="37"/>
      <c r="L210" s="145"/>
      <c r="M210" s="37"/>
      <c r="N210" s="37"/>
      <c r="O210" s="37"/>
      <c r="P210" s="37"/>
      <c r="Q210" s="145"/>
      <c r="R210" s="37"/>
      <c r="S210" s="37"/>
      <c r="T210" s="37"/>
      <c r="U210" s="37"/>
      <c r="V210" s="145"/>
      <c r="W210" s="37"/>
      <c r="X210" s="37"/>
      <c r="Y210" s="37"/>
      <c r="Z210" s="37"/>
      <c r="AA210" s="145"/>
      <c r="AB210" s="37"/>
      <c r="AC210" s="37"/>
      <c r="AD210" s="37"/>
      <c r="AE210" s="37"/>
      <c r="AF210" s="145"/>
      <c r="AG210" s="37"/>
      <c r="AH210" s="37"/>
      <c r="AI210" s="37"/>
      <c r="AJ210" s="37"/>
      <c r="AK210" s="145"/>
      <c r="AL210" s="37"/>
      <c r="AM210" s="37"/>
      <c r="AN210" s="37"/>
      <c r="AO210" s="37"/>
      <c r="AP210" s="145"/>
      <c r="AQ210" s="37"/>
      <c r="AR210" s="37"/>
      <c r="AS210" s="37"/>
      <c r="AT210" s="37"/>
      <c r="AU210" s="145"/>
      <c r="AV210" s="37"/>
      <c r="AW210" s="37"/>
      <c r="AX210" s="37"/>
      <c r="AY210" s="37"/>
      <c r="AZ210" s="145"/>
      <c r="BA210" s="37"/>
      <c r="BB210" s="37"/>
      <c r="BC210" s="37"/>
      <c r="BD210" s="37"/>
      <c r="BE210" s="145"/>
      <c r="BF210" s="37"/>
      <c r="BG210" s="37"/>
      <c r="BH210" s="37"/>
      <c r="BI210" s="37"/>
      <c r="BJ210" s="145"/>
      <c r="BK210" s="37"/>
      <c r="BL210" s="37"/>
      <c r="BM210" s="37"/>
      <c r="BN210" s="416"/>
      <c r="BO210" s="417"/>
      <c r="BP210" s="416"/>
      <c r="BQ210" s="416"/>
      <c r="BR210" s="416"/>
      <c r="BS210" s="416"/>
      <c r="BT210" s="417"/>
    </row>
    <row r="211" spans="1:72" s="182" customFormat="1" ht="13">
      <c r="A211" s="676">
        <f t="shared" si="323"/>
        <v>205</v>
      </c>
      <c r="B211" s="220" t="s">
        <v>293</v>
      </c>
      <c r="C211" s="33"/>
      <c r="D211" s="33"/>
      <c r="E211" s="145"/>
      <c r="F211" s="145"/>
      <c r="G211" s="145"/>
      <c r="H211" s="37"/>
      <c r="I211" s="37"/>
      <c r="J211" s="37"/>
      <c r="K211" s="37"/>
      <c r="L211" s="145"/>
      <c r="M211" s="37"/>
      <c r="N211" s="37"/>
      <c r="O211" s="37"/>
      <c r="P211" s="37"/>
      <c r="Q211" s="145"/>
      <c r="R211" s="37"/>
      <c r="S211" s="37"/>
      <c r="T211" s="37"/>
      <c r="U211" s="37"/>
      <c r="V211" s="145"/>
      <c r="W211" s="37"/>
      <c r="X211" s="37"/>
      <c r="Y211" s="37"/>
      <c r="Z211" s="37"/>
      <c r="AA211" s="145"/>
      <c r="AB211" s="37"/>
      <c r="AC211" s="37"/>
      <c r="AD211" s="37"/>
      <c r="AE211" s="37"/>
      <c r="AF211" s="145"/>
      <c r="AG211" s="37"/>
      <c r="AH211" s="37"/>
      <c r="AI211" s="37"/>
      <c r="AJ211" s="37"/>
      <c r="AK211" s="145"/>
      <c r="AL211" s="37"/>
      <c r="AM211" s="37"/>
      <c r="AN211" s="37"/>
      <c r="AO211" s="37"/>
      <c r="AP211" s="145"/>
      <c r="AQ211" s="37"/>
      <c r="AR211" s="37"/>
      <c r="AS211" s="37"/>
      <c r="AT211" s="37"/>
      <c r="AU211" s="145"/>
      <c r="AV211" s="37"/>
      <c r="AW211" s="37"/>
      <c r="AX211" s="37"/>
      <c r="AY211" s="37"/>
      <c r="AZ211" s="145"/>
      <c r="BA211" s="37"/>
      <c r="BB211" s="37"/>
      <c r="BC211" s="37"/>
      <c r="BD211" s="37"/>
      <c r="BE211" s="145"/>
      <c r="BF211" s="37"/>
      <c r="BG211" s="37"/>
      <c r="BH211" s="37"/>
      <c r="BI211" s="37"/>
      <c r="BJ211" s="145"/>
      <c r="BK211" s="37"/>
      <c r="BL211" s="37"/>
      <c r="BM211" s="37"/>
      <c r="BN211" s="416"/>
      <c r="BO211" s="417"/>
      <c r="BP211" s="416"/>
      <c r="BQ211" s="416"/>
      <c r="BR211" s="416"/>
      <c r="BS211" s="416"/>
      <c r="BT211" s="417"/>
    </row>
    <row r="212" spans="1:72" s="182" customFormat="1" ht="13">
      <c r="A212" s="676">
        <f t="shared" si="323"/>
        <v>206</v>
      </c>
      <c r="B212" s="34"/>
      <c r="C212" s="33"/>
      <c r="D212" s="33"/>
      <c r="E212" s="145"/>
      <c r="F212" s="145"/>
      <c r="G212" s="145"/>
      <c r="H212" s="37"/>
      <c r="I212" s="37"/>
      <c r="J212" s="37"/>
      <c r="K212" s="37"/>
      <c r="L212" s="145"/>
      <c r="M212" s="37"/>
      <c r="N212" s="37"/>
      <c r="O212" s="37"/>
      <c r="P212" s="37"/>
      <c r="Q212" s="145"/>
      <c r="R212" s="37"/>
      <c r="S212" s="37"/>
      <c r="T212" s="37"/>
      <c r="U212" s="37"/>
      <c r="V212" s="145"/>
      <c r="W212" s="37"/>
      <c r="X212" s="37"/>
      <c r="Y212" s="37"/>
      <c r="Z212" s="37"/>
      <c r="AA212" s="145"/>
      <c r="AB212" s="37"/>
      <c r="AC212" s="37"/>
      <c r="AD212" s="37"/>
      <c r="AE212" s="37"/>
      <c r="AF212" s="145"/>
      <c r="AG212" s="37"/>
      <c r="AH212" s="37"/>
      <c r="AI212" s="37"/>
      <c r="AJ212" s="37"/>
      <c r="AK212" s="145"/>
      <c r="AL212" s="37"/>
      <c r="AM212" s="37"/>
      <c r="AN212" s="37"/>
      <c r="AO212" s="37"/>
      <c r="AP212" s="145"/>
      <c r="AQ212" s="37"/>
      <c r="AR212" s="37"/>
      <c r="AS212" s="37"/>
      <c r="AT212" s="37"/>
      <c r="AU212" s="145"/>
      <c r="AV212" s="37"/>
      <c r="AW212" s="37"/>
      <c r="AX212" s="37"/>
      <c r="AY212" s="37"/>
      <c r="AZ212" s="145"/>
      <c r="BA212" s="37"/>
      <c r="BB212" s="37"/>
      <c r="BC212" s="37"/>
      <c r="BD212" s="37"/>
      <c r="BE212" s="145"/>
      <c r="BF212" s="37"/>
      <c r="BG212" s="37"/>
      <c r="BH212" s="37"/>
      <c r="BI212" s="37"/>
      <c r="BJ212" s="145"/>
      <c r="BK212" s="37"/>
      <c r="BL212" s="37"/>
      <c r="BM212" s="37"/>
      <c r="BN212" s="416"/>
      <c r="BO212" s="417"/>
      <c r="BP212" s="416"/>
      <c r="BQ212" s="416"/>
      <c r="BR212" s="416"/>
      <c r="BS212" s="416"/>
      <c r="BT212" s="417"/>
    </row>
    <row r="213" spans="1:72" s="182" customFormat="1" ht="13">
      <c r="A213" s="676">
        <f t="shared" si="323"/>
        <v>207</v>
      </c>
      <c r="B213" s="220" t="s">
        <v>294</v>
      </c>
      <c r="C213" s="33"/>
      <c r="D213" s="33"/>
      <c r="E213" s="145"/>
      <c r="F213" s="145"/>
      <c r="G213" s="145"/>
      <c r="H213" s="37"/>
      <c r="I213" s="37"/>
      <c r="J213" s="37"/>
      <c r="K213" s="37"/>
      <c r="L213" s="145"/>
      <c r="M213" s="37"/>
      <c r="N213" s="37"/>
      <c r="O213" s="37"/>
      <c r="P213" s="37"/>
      <c r="Q213" s="145"/>
      <c r="R213" s="37"/>
      <c r="S213" s="37"/>
      <c r="T213" s="37"/>
      <c r="U213" s="37"/>
      <c r="V213" s="145"/>
      <c r="W213" s="37"/>
      <c r="X213" s="37"/>
      <c r="Y213" s="37"/>
      <c r="Z213" s="37"/>
      <c r="AA213" s="145"/>
      <c r="AB213" s="37"/>
      <c r="AC213" s="37"/>
      <c r="AD213" s="37"/>
      <c r="AE213" s="37"/>
      <c r="AF213" s="145">
        <f>AE213</f>
        <v>0</v>
      </c>
      <c r="AG213" s="37"/>
      <c r="AH213" s="37"/>
      <c r="AI213" s="37"/>
      <c r="AJ213" s="37"/>
      <c r="AK213" s="145">
        <f>AJ213</f>
        <v>0</v>
      </c>
      <c r="AL213" s="37"/>
      <c r="AM213" s="37"/>
      <c r="AN213" s="37"/>
      <c r="AO213" s="37"/>
      <c r="AP213" s="145">
        <f>AO213</f>
        <v>0</v>
      </c>
      <c r="AQ213" s="37"/>
      <c r="AR213" s="37"/>
      <c r="AS213" s="37"/>
      <c r="AT213" s="37"/>
      <c r="AU213" s="145">
        <f>AT213</f>
        <v>0</v>
      </c>
      <c r="AV213" s="37"/>
      <c r="AW213" s="37"/>
      <c r="AX213" s="37"/>
      <c r="AY213" s="37"/>
      <c r="AZ213" s="145">
        <f>AY213</f>
        <v>0</v>
      </c>
      <c r="BA213" s="37"/>
      <c r="BB213" s="37"/>
      <c r="BC213" s="37"/>
      <c r="BD213" s="37"/>
      <c r="BE213" s="145">
        <f>BD213</f>
        <v>0</v>
      </c>
      <c r="BF213" s="37"/>
      <c r="BG213" s="37"/>
      <c r="BH213" s="37"/>
      <c r="BI213" s="37"/>
      <c r="BJ213" s="145">
        <f>BI213</f>
        <v>0</v>
      </c>
      <c r="BK213" s="37"/>
      <c r="BL213" s="37"/>
      <c r="BM213" s="37"/>
      <c r="BN213" s="416">
        <f t="shared" ref="BN213:BO214" si="339">BM213</f>
        <v>0</v>
      </c>
      <c r="BO213" s="417">
        <f t="shared" si="339"/>
        <v>0</v>
      </c>
      <c r="BP213" s="416">
        <f t="shared" ref="BP213:BT214" si="340">BO213</f>
        <v>0</v>
      </c>
      <c r="BQ213" s="416">
        <f t="shared" si="340"/>
        <v>0</v>
      </c>
      <c r="BR213" s="416">
        <f t="shared" si="340"/>
        <v>0</v>
      </c>
      <c r="BS213" s="416">
        <f t="shared" si="340"/>
        <v>0</v>
      </c>
      <c r="BT213" s="417">
        <f t="shared" si="340"/>
        <v>0</v>
      </c>
    </row>
    <row r="214" spans="1:72" s="182" customFormat="1" ht="13">
      <c r="A214" s="676">
        <f t="shared" si="323"/>
        <v>208</v>
      </c>
      <c r="B214" s="220" t="s">
        <v>295</v>
      </c>
      <c r="C214" s="33"/>
      <c r="D214" s="33"/>
      <c r="E214" s="145"/>
      <c r="F214" s="145"/>
      <c r="G214" s="145"/>
      <c r="H214" s="37"/>
      <c r="I214" s="37"/>
      <c r="J214" s="37"/>
      <c r="K214" s="37"/>
      <c r="L214" s="145"/>
      <c r="M214" s="37"/>
      <c r="N214" s="37"/>
      <c r="O214" s="37"/>
      <c r="P214" s="37"/>
      <c r="Q214" s="145"/>
      <c r="R214" s="37"/>
      <c r="S214" s="37"/>
      <c r="T214" s="37"/>
      <c r="U214" s="37"/>
      <c r="V214" s="145"/>
      <c r="W214" s="37"/>
      <c r="X214" s="37"/>
      <c r="Y214" s="37"/>
      <c r="Z214" s="37"/>
      <c r="AA214" s="145"/>
      <c r="AB214" s="37"/>
      <c r="AC214" s="37"/>
      <c r="AD214" s="37"/>
      <c r="AE214" s="37"/>
      <c r="AF214" s="145">
        <f>AE214</f>
        <v>0</v>
      </c>
      <c r="AG214" s="37"/>
      <c r="AH214" s="37"/>
      <c r="AI214" s="37"/>
      <c r="AJ214" s="37"/>
      <c r="AK214" s="145">
        <f>AJ214</f>
        <v>0</v>
      </c>
      <c r="AL214" s="37"/>
      <c r="AM214" s="37"/>
      <c r="AN214" s="37"/>
      <c r="AO214" s="37"/>
      <c r="AP214" s="145">
        <f>AO214</f>
        <v>0</v>
      </c>
      <c r="AQ214" s="37"/>
      <c r="AR214" s="37"/>
      <c r="AS214" s="37"/>
      <c r="AT214" s="37"/>
      <c r="AU214" s="145">
        <f>AT214</f>
        <v>0</v>
      </c>
      <c r="AV214" s="37"/>
      <c r="AW214" s="37"/>
      <c r="AX214" s="37"/>
      <c r="AY214" s="37"/>
      <c r="AZ214" s="145">
        <f>AY214</f>
        <v>0</v>
      </c>
      <c r="BA214" s="37"/>
      <c r="BB214" s="37"/>
      <c r="BC214" s="37"/>
      <c r="BD214" s="37"/>
      <c r="BE214" s="145">
        <f>BD214</f>
        <v>0</v>
      </c>
      <c r="BF214" s="37"/>
      <c r="BG214" s="37"/>
      <c r="BH214" s="37"/>
      <c r="BI214" s="37"/>
      <c r="BJ214" s="145">
        <f>BI214</f>
        <v>0</v>
      </c>
      <c r="BK214" s="37"/>
      <c r="BL214" s="37"/>
      <c r="BM214" s="37"/>
      <c r="BN214" s="416">
        <f t="shared" si="339"/>
        <v>0</v>
      </c>
      <c r="BO214" s="417">
        <f t="shared" si="339"/>
        <v>0</v>
      </c>
      <c r="BP214" s="416">
        <f t="shared" si="340"/>
        <v>0</v>
      </c>
      <c r="BQ214" s="416">
        <f t="shared" si="340"/>
        <v>0</v>
      </c>
      <c r="BR214" s="416">
        <f t="shared" si="340"/>
        <v>0</v>
      </c>
      <c r="BS214" s="416">
        <f t="shared" si="340"/>
        <v>0</v>
      </c>
      <c r="BT214" s="417">
        <f t="shared" si="340"/>
        <v>0</v>
      </c>
    </row>
    <row r="215" spans="1:72" s="182" customFormat="1" ht="13">
      <c r="A215" s="676">
        <f t="shared" si="323"/>
        <v>209</v>
      </c>
      <c r="B215" s="220" t="s">
        <v>296</v>
      </c>
      <c r="C215" s="33"/>
      <c r="D215" s="33"/>
      <c r="E215" s="145"/>
      <c r="F215" s="145"/>
      <c r="G215" s="145"/>
      <c r="H215" s="37"/>
      <c r="I215" s="37"/>
      <c r="J215" s="37"/>
      <c r="K215" s="37"/>
      <c r="L215" s="145"/>
      <c r="M215" s="37"/>
      <c r="N215" s="37"/>
      <c r="O215" s="37"/>
      <c r="P215" s="37"/>
      <c r="Q215" s="145"/>
      <c r="R215" s="37"/>
      <c r="S215" s="37"/>
      <c r="T215" s="37"/>
      <c r="U215" s="37"/>
      <c r="V215" s="145"/>
      <c r="W215" s="37"/>
      <c r="X215" s="37"/>
      <c r="Y215" s="37"/>
      <c r="Z215" s="37"/>
      <c r="AA215" s="145"/>
      <c r="AB215" s="37"/>
      <c r="AC215" s="37"/>
      <c r="AD215" s="37"/>
      <c r="AE215" s="37"/>
      <c r="AF215" s="145"/>
      <c r="AG215" s="37"/>
      <c r="AH215" s="37"/>
      <c r="AI215" s="37"/>
      <c r="AJ215" s="37"/>
      <c r="AK215" s="145"/>
      <c r="AL215" s="37"/>
      <c r="AM215" s="37"/>
      <c r="AN215" s="37"/>
      <c r="AO215" s="37"/>
      <c r="AP215" s="145"/>
      <c r="AQ215" s="37"/>
      <c r="AR215" s="37"/>
      <c r="AS215" s="37"/>
      <c r="AT215" s="37"/>
      <c r="AU215" s="145"/>
      <c r="AV215" s="37"/>
      <c r="AW215" s="37"/>
      <c r="AX215" s="37"/>
      <c r="AY215" s="37"/>
      <c r="AZ215" s="145"/>
      <c r="BA215" s="37"/>
      <c r="BB215" s="37"/>
      <c r="BC215" s="37"/>
      <c r="BD215" s="37"/>
      <c r="BE215" s="145"/>
      <c r="BF215" s="37"/>
      <c r="BG215" s="37"/>
      <c r="BH215" s="37"/>
      <c r="BI215" s="37"/>
      <c r="BJ215" s="145"/>
      <c r="BK215" s="37"/>
      <c r="BL215" s="37"/>
      <c r="BM215" s="37"/>
      <c r="BN215" s="416" t="e">
        <f>BM215+BN94-#REF!+#REF!</f>
        <v>#DIV/0!</v>
      </c>
      <c r="BO215" s="417" t="e">
        <f>BJ215+BO94-BO163-#REF!+#REF!</f>
        <v>#DIV/0!</v>
      </c>
      <c r="BP215" s="416" t="e">
        <f>BO215+BP94-#REF!+#REF!</f>
        <v>#DIV/0!</v>
      </c>
      <c r="BQ215" s="416" t="e">
        <f>BP215+BQ94-#REF!+#REF!</f>
        <v>#DIV/0!</v>
      </c>
      <c r="BR215" s="416" t="e">
        <f>BQ215+BR94-#REF!+#REF!</f>
        <v>#DIV/0!</v>
      </c>
      <c r="BS215" s="416" t="e">
        <f>BR215+BS94-#REF!+#REF!</f>
        <v>#DIV/0!</v>
      </c>
      <c r="BT215" s="417" t="e">
        <f>BO215+BT94-BT163-#REF!+#REF!</f>
        <v>#DIV/0!</v>
      </c>
    </row>
    <row r="216" spans="1:72" s="182" customFormat="1" ht="13">
      <c r="A216" s="676">
        <f t="shared" si="323"/>
        <v>210</v>
      </c>
      <c r="B216" s="220" t="s">
        <v>297</v>
      </c>
      <c r="C216" s="33"/>
      <c r="D216" s="33"/>
      <c r="E216" s="172"/>
      <c r="F216" s="172"/>
      <c r="G216" s="172"/>
      <c r="H216" s="39"/>
      <c r="I216" s="39"/>
      <c r="J216" s="39"/>
      <c r="K216" s="39"/>
      <c r="L216" s="172"/>
      <c r="M216" s="39"/>
      <c r="N216" s="39"/>
      <c r="O216" s="39"/>
      <c r="P216" s="39"/>
      <c r="Q216" s="172"/>
      <c r="R216" s="39"/>
      <c r="S216" s="39"/>
      <c r="T216" s="39"/>
      <c r="U216" s="39"/>
      <c r="V216" s="172"/>
      <c r="W216" s="39"/>
      <c r="X216" s="39"/>
      <c r="Y216" s="39"/>
      <c r="Z216" s="39"/>
      <c r="AA216" s="172"/>
      <c r="AB216" s="39"/>
      <c r="AC216" s="39"/>
      <c r="AD216" s="39"/>
      <c r="AE216" s="39"/>
      <c r="AF216" s="172">
        <f>AE216</f>
        <v>0</v>
      </c>
      <c r="AG216" s="39"/>
      <c r="AH216" s="39"/>
      <c r="AI216" s="39"/>
      <c r="AJ216" s="39"/>
      <c r="AK216" s="172">
        <f>AJ216</f>
        <v>0</v>
      </c>
      <c r="AL216" s="39"/>
      <c r="AM216" s="39"/>
      <c r="AN216" s="39"/>
      <c r="AO216" s="39"/>
      <c r="AP216" s="172">
        <f>AO216</f>
        <v>0</v>
      </c>
      <c r="AQ216" s="39"/>
      <c r="AR216" s="39"/>
      <c r="AS216" s="39"/>
      <c r="AT216" s="39"/>
      <c r="AU216" s="172">
        <f>AT216</f>
        <v>0</v>
      </c>
      <c r="AV216" s="39"/>
      <c r="AW216" s="39"/>
      <c r="AX216" s="39"/>
      <c r="AY216" s="39"/>
      <c r="AZ216" s="172">
        <f>AY216</f>
        <v>0</v>
      </c>
      <c r="BA216" s="39"/>
      <c r="BB216" s="39"/>
      <c r="BC216" s="39"/>
      <c r="BD216" s="39"/>
      <c r="BE216" s="172">
        <f>BD216</f>
        <v>0</v>
      </c>
      <c r="BF216" s="39"/>
      <c r="BG216" s="39"/>
      <c r="BH216" s="39"/>
      <c r="BI216" s="39"/>
      <c r="BJ216" s="172">
        <f>BI216</f>
        <v>0</v>
      </c>
      <c r="BK216" s="39"/>
      <c r="BL216" s="39"/>
      <c r="BM216" s="39"/>
      <c r="BN216" s="420">
        <f t="shared" ref="BN216:BT216" si="341">BM216</f>
        <v>0</v>
      </c>
      <c r="BO216" s="421">
        <f t="shared" si="341"/>
        <v>0</v>
      </c>
      <c r="BP216" s="420">
        <f t="shared" si="341"/>
        <v>0</v>
      </c>
      <c r="BQ216" s="420">
        <f t="shared" si="341"/>
        <v>0</v>
      </c>
      <c r="BR216" s="420">
        <f t="shared" si="341"/>
        <v>0</v>
      </c>
      <c r="BS216" s="420">
        <f t="shared" si="341"/>
        <v>0</v>
      </c>
      <c r="BT216" s="421">
        <f t="shared" si="341"/>
        <v>0</v>
      </c>
    </row>
    <row r="217" spans="1:72" s="182" customFormat="1" ht="13">
      <c r="A217" s="676">
        <f t="shared" si="323"/>
        <v>211</v>
      </c>
      <c r="B217" s="34" t="s">
        <v>298</v>
      </c>
      <c r="C217" s="33"/>
      <c r="D217" s="33"/>
      <c r="E217" s="145">
        <f t="shared" ref="E217:Q217" si="342">SUM(E211:E216)</f>
        <v>0</v>
      </c>
      <c r="F217" s="145">
        <f t="shared" si="342"/>
        <v>0</v>
      </c>
      <c r="G217" s="145">
        <f t="shared" si="342"/>
        <v>0</v>
      </c>
      <c r="H217" s="37">
        <f t="shared" si="342"/>
        <v>0</v>
      </c>
      <c r="I217" s="37">
        <f t="shared" si="342"/>
        <v>0</v>
      </c>
      <c r="J217" s="37">
        <f t="shared" si="342"/>
        <v>0</v>
      </c>
      <c r="K217" s="37">
        <f t="shared" si="342"/>
        <v>0</v>
      </c>
      <c r="L217" s="145">
        <f t="shared" si="342"/>
        <v>0</v>
      </c>
      <c r="M217" s="37">
        <f t="shared" si="342"/>
        <v>0</v>
      </c>
      <c r="N217" s="37">
        <f t="shared" si="342"/>
        <v>0</v>
      </c>
      <c r="O217" s="37">
        <f t="shared" si="342"/>
        <v>0</v>
      </c>
      <c r="P217" s="37">
        <f t="shared" si="342"/>
        <v>0</v>
      </c>
      <c r="Q217" s="145">
        <f t="shared" si="342"/>
        <v>0</v>
      </c>
      <c r="R217" s="37">
        <f t="shared" ref="R217:AF217" si="343">SUM(R211:R216)</f>
        <v>0</v>
      </c>
      <c r="S217" s="37">
        <f t="shared" si="343"/>
        <v>0</v>
      </c>
      <c r="T217" s="37">
        <f t="shared" si="343"/>
        <v>0</v>
      </c>
      <c r="U217" s="37">
        <f t="shared" si="343"/>
        <v>0</v>
      </c>
      <c r="V217" s="145">
        <f t="shared" si="343"/>
        <v>0</v>
      </c>
      <c r="W217" s="37">
        <f t="shared" si="343"/>
        <v>0</v>
      </c>
      <c r="X217" s="37">
        <f>SUM(X211:X216)</f>
        <v>0</v>
      </c>
      <c r="Y217" s="37">
        <f>SUM(Y211:Y216)</f>
        <v>0</v>
      </c>
      <c r="Z217" s="37">
        <f t="shared" si="343"/>
        <v>0</v>
      </c>
      <c r="AA217" s="145">
        <f t="shared" si="343"/>
        <v>0</v>
      </c>
      <c r="AB217" s="37">
        <f t="shared" si="343"/>
        <v>0</v>
      </c>
      <c r="AC217" s="37">
        <f>SUM(AC211:AC216)</f>
        <v>0</v>
      </c>
      <c r="AD217" s="37">
        <f>SUM(AD211:AD216)</f>
        <v>0</v>
      </c>
      <c r="AE217" s="37">
        <f>SUM(AE211:AE216)</f>
        <v>0</v>
      </c>
      <c r="AF217" s="145">
        <f t="shared" si="343"/>
        <v>0</v>
      </c>
      <c r="AG217" s="37">
        <f t="shared" ref="AG217:AQ217" si="344">SUM(AG211:AG216)</f>
        <v>0</v>
      </c>
      <c r="AH217" s="37">
        <f t="shared" si="344"/>
        <v>0</v>
      </c>
      <c r="AI217" s="37">
        <f t="shared" si="344"/>
        <v>0</v>
      </c>
      <c r="AJ217" s="37">
        <f t="shared" si="344"/>
        <v>0</v>
      </c>
      <c r="AK217" s="145">
        <f t="shared" si="344"/>
        <v>0</v>
      </c>
      <c r="AL217" s="37">
        <f t="shared" si="344"/>
        <v>0</v>
      </c>
      <c r="AM217" s="37">
        <f t="shared" si="344"/>
        <v>0</v>
      </c>
      <c r="AN217" s="37">
        <f t="shared" si="344"/>
        <v>0</v>
      </c>
      <c r="AO217" s="37">
        <f t="shared" si="344"/>
        <v>0</v>
      </c>
      <c r="AP217" s="145">
        <f t="shared" si="344"/>
        <v>0</v>
      </c>
      <c r="AQ217" s="37">
        <f t="shared" si="344"/>
        <v>0</v>
      </c>
      <c r="AR217" s="37">
        <f t="shared" ref="AR217:AW217" si="345">SUM(AR211:AR216)</f>
        <v>0</v>
      </c>
      <c r="AS217" s="37">
        <f t="shared" si="345"/>
        <v>0</v>
      </c>
      <c r="AT217" s="37">
        <f t="shared" si="345"/>
        <v>0</v>
      </c>
      <c r="AU217" s="145">
        <f t="shared" si="345"/>
        <v>0</v>
      </c>
      <c r="AV217" s="37">
        <f t="shared" si="345"/>
        <v>0</v>
      </c>
      <c r="AW217" s="37">
        <f t="shared" si="345"/>
        <v>0</v>
      </c>
      <c r="AX217" s="37">
        <f t="shared" ref="AX217:BG217" si="346">SUM(AX211:AX216)</f>
        <v>0</v>
      </c>
      <c r="AY217" s="37">
        <f t="shared" si="346"/>
        <v>0</v>
      </c>
      <c r="AZ217" s="145">
        <f t="shared" si="346"/>
        <v>0</v>
      </c>
      <c r="BA217" s="37">
        <f t="shared" si="346"/>
        <v>0</v>
      </c>
      <c r="BB217" s="37">
        <f t="shared" si="346"/>
        <v>0</v>
      </c>
      <c r="BC217" s="37">
        <f t="shared" si="346"/>
        <v>0</v>
      </c>
      <c r="BD217" s="37">
        <f t="shared" si="346"/>
        <v>0</v>
      </c>
      <c r="BE217" s="145">
        <f t="shared" si="346"/>
        <v>0</v>
      </c>
      <c r="BF217" s="37">
        <f t="shared" si="346"/>
        <v>0</v>
      </c>
      <c r="BG217" s="37">
        <f t="shared" si="346"/>
        <v>0</v>
      </c>
      <c r="BH217" s="37">
        <f t="shared" ref="BH217:BT217" si="347">SUM(BH211:BH216)</f>
        <v>0</v>
      </c>
      <c r="BI217" s="37">
        <f t="shared" si="347"/>
        <v>0</v>
      </c>
      <c r="BJ217" s="145">
        <f t="shared" si="347"/>
        <v>0</v>
      </c>
      <c r="BK217" s="37">
        <f t="shared" si="347"/>
        <v>0</v>
      </c>
      <c r="BL217" s="37">
        <f t="shared" si="347"/>
        <v>0</v>
      </c>
      <c r="BM217" s="37">
        <f>SUM(BM211:BM216)</f>
        <v>0</v>
      </c>
      <c r="BN217" s="416" t="e">
        <f t="shared" si="347"/>
        <v>#DIV/0!</v>
      </c>
      <c r="BO217" s="417" t="e">
        <f t="shared" si="347"/>
        <v>#DIV/0!</v>
      </c>
      <c r="BP217" s="416" t="e">
        <f t="shared" si="347"/>
        <v>#DIV/0!</v>
      </c>
      <c r="BQ217" s="416" t="e">
        <f t="shared" si="347"/>
        <v>#DIV/0!</v>
      </c>
      <c r="BR217" s="416" t="e">
        <f t="shared" si="347"/>
        <v>#DIV/0!</v>
      </c>
      <c r="BS217" s="416" t="e">
        <f t="shared" si="347"/>
        <v>#DIV/0!</v>
      </c>
      <c r="BT217" s="417" t="e">
        <f t="shared" si="347"/>
        <v>#DIV/0!</v>
      </c>
    </row>
    <row r="218" spans="1:72" s="182" customFormat="1" ht="13">
      <c r="A218" s="676">
        <f t="shared" si="323"/>
        <v>212</v>
      </c>
      <c r="B218" s="34"/>
      <c r="C218" s="33"/>
      <c r="D218" s="33"/>
      <c r="E218" s="145"/>
      <c r="F218" s="145"/>
      <c r="G218" s="145"/>
      <c r="H218" s="37"/>
      <c r="I218" s="37"/>
      <c r="J218" s="37"/>
      <c r="K218" s="37"/>
      <c r="L218" s="145"/>
      <c r="M218" s="37"/>
      <c r="N218" s="37"/>
      <c r="O218" s="37"/>
      <c r="P218" s="37"/>
      <c r="Q218" s="145"/>
      <c r="R218" s="37"/>
      <c r="S218" s="37"/>
      <c r="T218" s="37"/>
      <c r="U218" s="37"/>
      <c r="V218" s="145"/>
      <c r="W218" s="37"/>
      <c r="X218" s="37"/>
      <c r="Y218" s="37"/>
      <c r="Z218" s="37"/>
      <c r="AA218" s="145"/>
      <c r="AB218" s="37"/>
      <c r="AC218" s="37"/>
      <c r="AD218" s="37"/>
      <c r="AE218" s="37"/>
      <c r="AF218" s="145"/>
      <c r="AG218" s="37"/>
      <c r="AH218" s="37"/>
      <c r="AI218" s="37"/>
      <c r="AJ218" s="37"/>
      <c r="AK218" s="145"/>
      <c r="AL218" s="37"/>
      <c r="AM218" s="37"/>
      <c r="AN218" s="37"/>
      <c r="AO218" s="37"/>
      <c r="AP218" s="145"/>
      <c r="AQ218" s="37"/>
      <c r="AR218" s="37"/>
      <c r="AS218" s="37"/>
      <c r="AT218" s="37"/>
      <c r="AU218" s="145"/>
      <c r="AV218" s="37"/>
      <c r="AW218" s="37"/>
      <c r="AX218" s="37"/>
      <c r="AY218" s="37"/>
      <c r="AZ218" s="145"/>
      <c r="BA218" s="37"/>
      <c r="BB218" s="37"/>
      <c r="BC218" s="37"/>
      <c r="BD218" s="37"/>
      <c r="BE218" s="145"/>
      <c r="BF218" s="37"/>
      <c r="BG218" s="37"/>
      <c r="BH218" s="37"/>
      <c r="BI218" s="37"/>
      <c r="BJ218" s="145"/>
      <c r="BK218" s="37"/>
      <c r="BL218" s="37"/>
      <c r="BM218" s="37"/>
      <c r="BN218" s="416"/>
      <c r="BO218" s="417"/>
      <c r="BP218" s="416"/>
      <c r="BQ218" s="416"/>
      <c r="BR218" s="416"/>
      <c r="BS218" s="416"/>
      <c r="BT218" s="417"/>
    </row>
    <row r="219" spans="1:72" s="182" customFormat="1" ht="13">
      <c r="A219" s="676">
        <f t="shared" si="323"/>
        <v>213</v>
      </c>
      <c r="B219" s="34" t="s">
        <v>299</v>
      </c>
      <c r="C219" s="33"/>
      <c r="D219" s="33"/>
      <c r="E219" s="289">
        <f t="shared" ref="E219:T219" si="348">E217+E209</f>
        <v>0</v>
      </c>
      <c r="F219" s="289">
        <f t="shared" si="348"/>
        <v>0</v>
      </c>
      <c r="G219" s="289">
        <f t="shared" si="348"/>
        <v>0</v>
      </c>
      <c r="H219" s="288">
        <f t="shared" si="348"/>
        <v>0</v>
      </c>
      <c r="I219" s="288">
        <f t="shared" si="348"/>
        <v>0</v>
      </c>
      <c r="J219" s="288">
        <f t="shared" si="348"/>
        <v>0</v>
      </c>
      <c r="K219" s="288">
        <f t="shared" si="348"/>
        <v>0</v>
      </c>
      <c r="L219" s="289">
        <f t="shared" si="348"/>
        <v>0</v>
      </c>
      <c r="M219" s="288">
        <f t="shared" si="348"/>
        <v>0</v>
      </c>
      <c r="N219" s="288">
        <f t="shared" si="348"/>
        <v>0</v>
      </c>
      <c r="O219" s="288">
        <f t="shared" si="348"/>
        <v>0</v>
      </c>
      <c r="P219" s="288">
        <f t="shared" si="348"/>
        <v>0</v>
      </c>
      <c r="Q219" s="289">
        <f t="shared" si="348"/>
        <v>0</v>
      </c>
      <c r="R219" s="288">
        <f t="shared" si="348"/>
        <v>0</v>
      </c>
      <c r="S219" s="288">
        <f t="shared" si="348"/>
        <v>0</v>
      </c>
      <c r="T219" s="288">
        <f t="shared" si="348"/>
        <v>0</v>
      </c>
      <c r="U219" s="288">
        <f>U209+U217</f>
        <v>0</v>
      </c>
      <c r="V219" s="289">
        <f>V209+V217</f>
        <v>0</v>
      </c>
      <c r="W219" s="288">
        <f>W209+W217</f>
        <v>0</v>
      </c>
      <c r="X219" s="288">
        <f>X217+X209</f>
        <v>0</v>
      </c>
      <c r="Y219" s="288">
        <f>Y217+Y209</f>
        <v>0</v>
      </c>
      <c r="Z219" s="288">
        <f t="shared" ref="Z219:AF219" si="349">Z209+Z217</f>
        <v>0</v>
      </c>
      <c r="AA219" s="289">
        <f t="shared" si="349"/>
        <v>0</v>
      </c>
      <c r="AB219" s="288">
        <f t="shared" si="349"/>
        <v>0</v>
      </c>
      <c r="AC219" s="288">
        <f>AC217+AC209</f>
        <v>0</v>
      </c>
      <c r="AD219" s="288">
        <f>AD217+AD209</f>
        <v>0</v>
      </c>
      <c r="AE219" s="288">
        <f>AE209+AE217</f>
        <v>0</v>
      </c>
      <c r="AF219" s="289">
        <f t="shared" si="349"/>
        <v>0</v>
      </c>
      <c r="AG219" s="288">
        <f>AG209+AG217</f>
        <v>0</v>
      </c>
      <c r="AH219" s="288">
        <f>AH217+AH209</f>
        <v>0</v>
      </c>
      <c r="AI219" s="288">
        <f>AI217+AI209</f>
        <v>0</v>
      </c>
      <c r="AJ219" s="288">
        <f>AJ209+AJ217</f>
        <v>0</v>
      </c>
      <c r="AK219" s="289">
        <f>AK209+AK217</f>
        <v>0</v>
      </c>
      <c r="AL219" s="288">
        <f>AL209+AL217</f>
        <v>0</v>
      </c>
      <c r="AM219" s="288">
        <f>AM217+AM209</f>
        <v>0</v>
      </c>
      <c r="AN219" s="288">
        <f>AN217+AN209</f>
        <v>0</v>
      </c>
      <c r="AO219" s="288">
        <f>AO209+AO217</f>
        <v>0</v>
      </c>
      <c r="AP219" s="289">
        <f>AP209+AP217</f>
        <v>0</v>
      </c>
      <c r="AQ219" s="288">
        <f>AQ209+AQ217</f>
        <v>0</v>
      </c>
      <c r="AR219" s="288">
        <f>AR217+AR209</f>
        <v>0</v>
      </c>
      <c r="AS219" s="288">
        <f>AS217+AS209</f>
        <v>0</v>
      </c>
      <c r="AT219" s="288">
        <f>AT209+AT217</f>
        <v>0</v>
      </c>
      <c r="AU219" s="289">
        <f>AU209+AU217</f>
        <v>0</v>
      </c>
      <c r="AV219" s="288">
        <f>AV209+AV217</f>
        <v>0</v>
      </c>
      <c r="AW219" s="288">
        <f>AW217+AW209</f>
        <v>0</v>
      </c>
      <c r="AX219" s="288">
        <f>AX217+AX209</f>
        <v>0</v>
      </c>
      <c r="AY219" s="288">
        <f>AY209+AY217</f>
        <v>0</v>
      </c>
      <c r="AZ219" s="289">
        <f>AZ209+AZ217</f>
        <v>0</v>
      </c>
      <c r="BA219" s="288">
        <f>BA209+BA217</f>
        <v>0</v>
      </c>
      <c r="BB219" s="288">
        <f>BB217+BB209</f>
        <v>0</v>
      </c>
      <c r="BC219" s="288">
        <f>BC217+BC209</f>
        <v>0</v>
      </c>
      <c r="BD219" s="288">
        <f>BD209+BD217</f>
        <v>0</v>
      </c>
      <c r="BE219" s="289">
        <f>BE209+BE217</f>
        <v>0</v>
      </c>
      <c r="BF219" s="288">
        <f>BF209+BF217</f>
        <v>0</v>
      </c>
      <c r="BG219" s="288">
        <f>BG217+BG209</f>
        <v>0</v>
      </c>
      <c r="BH219" s="288">
        <f>BH217+BH209</f>
        <v>0</v>
      </c>
      <c r="BI219" s="288">
        <f t="shared" ref="BI219:BT219" si="350">BI209+BI217</f>
        <v>0</v>
      </c>
      <c r="BJ219" s="289">
        <f t="shared" si="350"/>
        <v>0</v>
      </c>
      <c r="BK219" s="288">
        <f t="shared" si="350"/>
        <v>0</v>
      </c>
      <c r="BL219" s="288">
        <f>BL217+BL209</f>
        <v>0</v>
      </c>
      <c r="BM219" s="288">
        <f>BM217+BM209</f>
        <v>0</v>
      </c>
      <c r="BN219" s="430" t="e">
        <f t="shared" si="350"/>
        <v>#DIV/0!</v>
      </c>
      <c r="BO219" s="431" t="e">
        <f t="shared" si="350"/>
        <v>#DIV/0!</v>
      </c>
      <c r="BP219" s="430" t="e">
        <f t="shared" si="350"/>
        <v>#DIV/0!</v>
      </c>
      <c r="BQ219" s="430" t="e">
        <f t="shared" si="350"/>
        <v>#DIV/0!</v>
      </c>
      <c r="BR219" s="430" t="e">
        <f t="shared" si="350"/>
        <v>#DIV/0!</v>
      </c>
      <c r="BS219" s="430" t="e">
        <f t="shared" si="350"/>
        <v>#DIV/0!</v>
      </c>
      <c r="BT219" s="431" t="e">
        <f t="shared" si="350"/>
        <v>#DIV/0!</v>
      </c>
    </row>
    <row r="220" spans="1:72" s="290" customFormat="1" ht="13">
      <c r="A220" s="676">
        <f t="shared" si="323"/>
        <v>214</v>
      </c>
      <c r="B220" s="182"/>
      <c r="C220" s="182"/>
      <c r="D220" s="182"/>
      <c r="E220" s="275">
        <f t="shared" ref="E220:AF220" si="351">E197-E219</f>
        <v>0</v>
      </c>
      <c r="F220" s="275">
        <f t="shared" si="351"/>
        <v>0</v>
      </c>
      <c r="G220" s="275">
        <f t="shared" si="351"/>
        <v>0</v>
      </c>
      <c r="H220" s="275">
        <f t="shared" si="351"/>
        <v>0</v>
      </c>
      <c r="I220" s="275">
        <f t="shared" si="351"/>
        <v>0</v>
      </c>
      <c r="J220" s="275">
        <f t="shared" si="351"/>
        <v>0</v>
      </c>
      <c r="K220" s="275">
        <f t="shared" si="351"/>
        <v>0</v>
      </c>
      <c r="L220" s="275">
        <f t="shared" si="351"/>
        <v>0</v>
      </c>
      <c r="M220" s="275">
        <f t="shared" si="351"/>
        <v>0</v>
      </c>
      <c r="N220" s="275">
        <f t="shared" si="351"/>
        <v>0</v>
      </c>
      <c r="O220" s="275">
        <f t="shared" si="351"/>
        <v>0</v>
      </c>
      <c r="P220" s="275">
        <f t="shared" si="351"/>
        <v>0</v>
      </c>
      <c r="Q220" s="275">
        <f t="shared" si="351"/>
        <v>0</v>
      </c>
      <c r="R220" s="275">
        <f t="shared" si="351"/>
        <v>0</v>
      </c>
      <c r="S220" s="275">
        <f t="shared" si="351"/>
        <v>0</v>
      </c>
      <c r="T220" s="275">
        <f t="shared" si="351"/>
        <v>0</v>
      </c>
      <c r="U220" s="275">
        <f t="shared" si="351"/>
        <v>0</v>
      </c>
      <c r="V220" s="275">
        <f t="shared" si="351"/>
        <v>0</v>
      </c>
      <c r="W220" s="275">
        <f t="shared" si="351"/>
        <v>0</v>
      </c>
      <c r="X220" s="275">
        <f t="shared" si="351"/>
        <v>0</v>
      </c>
      <c r="Y220" s="275">
        <f t="shared" si="351"/>
        <v>0</v>
      </c>
      <c r="Z220" s="275">
        <f t="shared" si="351"/>
        <v>0</v>
      </c>
      <c r="AA220" s="275">
        <f t="shared" si="351"/>
        <v>0</v>
      </c>
      <c r="AB220" s="275">
        <f t="shared" si="351"/>
        <v>0</v>
      </c>
      <c r="AC220" s="275">
        <f>AC197-AC219</f>
        <v>0</v>
      </c>
      <c r="AD220" s="275">
        <f>AD197-AD219</f>
        <v>0</v>
      </c>
      <c r="AE220" s="275">
        <f>AE197-AE219</f>
        <v>0</v>
      </c>
      <c r="AF220" s="275">
        <f t="shared" si="351"/>
        <v>0</v>
      </c>
      <c r="AG220" s="275">
        <f t="shared" ref="AG220:AQ220" si="352">AG197-AG219</f>
        <v>0</v>
      </c>
      <c r="AH220" s="275">
        <f t="shared" si="352"/>
        <v>0</v>
      </c>
      <c r="AI220" s="275">
        <f t="shared" si="352"/>
        <v>0</v>
      </c>
      <c r="AJ220" s="275">
        <f t="shared" si="352"/>
        <v>0</v>
      </c>
      <c r="AK220" s="275">
        <f t="shared" si="352"/>
        <v>0</v>
      </c>
      <c r="AL220" s="275">
        <f t="shared" si="352"/>
        <v>0</v>
      </c>
      <c r="AM220" s="275">
        <f t="shared" si="352"/>
        <v>0</v>
      </c>
      <c r="AN220" s="275">
        <f t="shared" si="352"/>
        <v>0</v>
      </c>
      <c r="AO220" s="275">
        <f t="shared" si="352"/>
        <v>0</v>
      </c>
      <c r="AP220" s="275">
        <f t="shared" si="352"/>
        <v>0</v>
      </c>
      <c r="AQ220" s="275">
        <f t="shared" si="352"/>
        <v>0</v>
      </c>
      <c r="AR220" s="275">
        <f t="shared" ref="AR220:AW220" si="353">AR197-AR219</f>
        <v>0</v>
      </c>
      <c r="AS220" s="275">
        <f t="shared" si="353"/>
        <v>0</v>
      </c>
      <c r="AT220" s="275">
        <f t="shared" si="353"/>
        <v>0</v>
      </c>
      <c r="AU220" s="275">
        <f t="shared" si="353"/>
        <v>0</v>
      </c>
      <c r="AV220" s="275">
        <f t="shared" si="353"/>
        <v>0</v>
      </c>
      <c r="AW220" s="275">
        <f t="shared" si="353"/>
        <v>0</v>
      </c>
      <c r="AX220" s="275">
        <f t="shared" ref="AX220:BG220" si="354">AX197-AX219</f>
        <v>0</v>
      </c>
      <c r="AY220" s="275">
        <f t="shared" si="354"/>
        <v>0</v>
      </c>
      <c r="AZ220" s="275">
        <f t="shared" si="354"/>
        <v>0</v>
      </c>
      <c r="BA220" s="275">
        <f t="shared" si="354"/>
        <v>0</v>
      </c>
      <c r="BB220" s="275">
        <f t="shared" si="354"/>
        <v>0</v>
      </c>
      <c r="BC220" s="275">
        <f t="shared" si="354"/>
        <v>0</v>
      </c>
      <c r="BD220" s="275">
        <f t="shared" si="354"/>
        <v>0</v>
      </c>
      <c r="BE220" s="275">
        <f t="shared" si="354"/>
        <v>0</v>
      </c>
      <c r="BF220" s="275">
        <f t="shared" si="354"/>
        <v>0</v>
      </c>
      <c r="BG220" s="275">
        <f t="shared" si="354"/>
        <v>0</v>
      </c>
      <c r="BH220" s="275">
        <f t="shared" ref="BH220:BT220" si="355">BH197-BH219</f>
        <v>0</v>
      </c>
      <c r="BI220" s="275">
        <f t="shared" si="355"/>
        <v>0</v>
      </c>
      <c r="BJ220" s="275">
        <f t="shared" si="355"/>
        <v>0</v>
      </c>
      <c r="BK220" s="275">
        <f t="shared" si="355"/>
        <v>0</v>
      </c>
      <c r="BL220" s="275">
        <f t="shared" si="355"/>
        <v>0</v>
      </c>
      <c r="BM220" s="275">
        <f>BM197-BM219</f>
        <v>0</v>
      </c>
      <c r="BN220" s="411" t="e">
        <f t="shared" si="355"/>
        <v>#DIV/0!</v>
      </c>
      <c r="BO220" s="411" t="e">
        <f t="shared" si="355"/>
        <v>#DIV/0!</v>
      </c>
      <c r="BP220" s="411" t="e">
        <f t="shared" si="355"/>
        <v>#DIV/0!</v>
      </c>
      <c r="BQ220" s="411" t="e">
        <f t="shared" si="355"/>
        <v>#DIV/0!</v>
      </c>
      <c r="BR220" s="411" t="e">
        <f t="shared" si="355"/>
        <v>#DIV/0!</v>
      </c>
      <c r="BS220" s="411" t="e">
        <f t="shared" si="355"/>
        <v>#DIV/0!</v>
      </c>
      <c r="BT220" s="411" t="e">
        <f t="shared" si="355"/>
        <v>#DIV/0!</v>
      </c>
    </row>
    <row r="221" spans="1:72" ht="13">
      <c r="A221" s="676">
        <f t="shared" si="323"/>
        <v>215</v>
      </c>
      <c r="B221" s="167" t="s">
        <v>300</v>
      </c>
      <c r="E221" s="226"/>
      <c r="F221" s="226"/>
      <c r="G221" s="226"/>
      <c r="H221" s="657"/>
      <c r="I221" s="657"/>
      <c r="J221" s="657"/>
      <c r="K221" s="226"/>
      <c r="L221" s="226"/>
      <c r="M221" s="657"/>
      <c r="N221" s="657"/>
      <c r="O221" s="657"/>
      <c r="P221" s="657"/>
      <c r="Q221" s="226"/>
      <c r="R221" s="657"/>
      <c r="S221" s="226"/>
      <c r="T221" s="226"/>
      <c r="U221" s="226"/>
      <c r="V221" s="226"/>
      <c r="W221" s="275"/>
      <c r="X221" s="226"/>
      <c r="Y221" s="226"/>
      <c r="Z221" s="226"/>
      <c r="AA221" s="226"/>
      <c r="AB221" s="275"/>
      <c r="AC221" s="226"/>
      <c r="AD221" s="226"/>
      <c r="AE221" s="226"/>
      <c r="AF221" s="226"/>
      <c r="AG221" s="275"/>
      <c r="AH221" s="226"/>
      <c r="AI221" s="226"/>
      <c r="AJ221" s="226"/>
      <c r="AK221" s="226"/>
      <c r="AL221" s="275"/>
      <c r="AM221" s="226"/>
      <c r="AN221" s="226"/>
      <c r="AO221" s="226"/>
      <c r="AP221" s="226"/>
      <c r="AQ221" s="275"/>
      <c r="AR221" s="226"/>
      <c r="AS221" s="226"/>
      <c r="AT221" s="226"/>
      <c r="AU221" s="226"/>
      <c r="AV221" s="275"/>
      <c r="AW221" s="226"/>
      <c r="AX221" s="226"/>
      <c r="AY221" s="226"/>
      <c r="AZ221" s="226"/>
      <c r="BA221" s="275"/>
      <c r="BB221" s="226"/>
      <c r="BC221" s="226"/>
      <c r="BD221" s="226"/>
      <c r="BE221" s="226"/>
      <c r="BF221" s="275"/>
      <c r="BG221" s="226"/>
      <c r="BH221" s="226"/>
      <c r="BI221" s="226"/>
      <c r="BJ221" s="226"/>
      <c r="BK221" s="275"/>
      <c r="BL221" s="226"/>
      <c r="BM221" s="226"/>
      <c r="BN221" s="411"/>
      <c r="BO221" s="432"/>
      <c r="BP221" s="411"/>
      <c r="BQ221" s="411"/>
      <c r="BR221" s="411"/>
      <c r="BS221" s="411"/>
      <c r="BT221" s="432"/>
    </row>
    <row r="222" spans="1:72" s="225" customFormat="1" ht="15" customHeight="1">
      <c r="A222" s="676">
        <f t="shared" si="323"/>
        <v>216</v>
      </c>
      <c r="B222" s="229" t="s">
        <v>301</v>
      </c>
      <c r="C222" s="229"/>
      <c r="D222" s="229"/>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c r="AE222" s="165"/>
      <c r="AF222" s="165"/>
      <c r="AG222" s="165"/>
      <c r="AH222" s="165"/>
      <c r="AI222" s="165"/>
      <c r="AJ222" s="165"/>
      <c r="AK222" s="165"/>
      <c r="AL222" s="165"/>
      <c r="AM222" s="165"/>
      <c r="AN222" s="165"/>
      <c r="AO222" s="165"/>
      <c r="AP222" s="165"/>
      <c r="AQ222" s="165"/>
      <c r="AR222" s="165"/>
      <c r="AS222" s="165"/>
      <c r="AT222" s="165"/>
      <c r="AU222" s="165"/>
      <c r="AV222" s="165"/>
      <c r="AW222" s="165"/>
      <c r="AX222" s="165"/>
      <c r="AY222" s="165"/>
      <c r="AZ222" s="165"/>
      <c r="BA222" s="165"/>
      <c r="BB222" s="165"/>
      <c r="BC222" s="165"/>
      <c r="BD222" s="165"/>
      <c r="BE222" s="165"/>
      <c r="BF222" s="165"/>
      <c r="BG222" s="165"/>
      <c r="BH222" s="165"/>
      <c r="BI222" s="165"/>
      <c r="BJ222" s="165"/>
      <c r="BK222" s="165"/>
      <c r="BL222" s="165"/>
      <c r="BM222" s="165"/>
      <c r="BN222" s="435"/>
      <c r="BO222" s="435"/>
      <c r="BP222" s="435"/>
      <c r="BQ222" s="435"/>
      <c r="BR222" s="435"/>
      <c r="BS222" s="435"/>
      <c r="BT222" s="435"/>
    </row>
    <row r="223" spans="1:72" ht="13">
      <c r="A223" s="676">
        <f t="shared" si="323"/>
        <v>217</v>
      </c>
      <c r="B223" s="666" t="str">
        <f>+'Debt Detail'!B10</f>
        <v>Revolving line of credit</v>
      </c>
      <c r="C223" s="229"/>
      <c r="D223" s="229"/>
      <c r="E223" s="165"/>
      <c r="F223" s="165"/>
      <c r="G223" s="165"/>
      <c r="H223" s="165"/>
      <c r="I223" s="165"/>
      <c r="J223" s="165"/>
      <c r="K223" s="165"/>
      <c r="L223" s="165"/>
      <c r="M223" s="165"/>
      <c r="N223" s="165"/>
      <c r="O223" s="165"/>
      <c r="P223" s="165"/>
      <c r="Q223" s="667">
        <f>+'Debt Detail'!Q10</f>
        <v>0</v>
      </c>
      <c r="R223" s="667">
        <f>+'Debt Detail'!R10</f>
        <v>0</v>
      </c>
      <c r="S223" s="667">
        <f>+'Debt Detail'!S10</f>
        <v>0</v>
      </c>
      <c r="T223" s="667">
        <f>+'Debt Detail'!T10</f>
        <v>0</v>
      </c>
      <c r="U223" s="667">
        <f>+'Debt Detail'!U10</f>
        <v>0</v>
      </c>
      <c r="V223" s="667">
        <f>+'Debt Detail'!V10</f>
        <v>0</v>
      </c>
      <c r="W223" s="667">
        <f>+'Debt Detail'!W10</f>
        <v>0</v>
      </c>
      <c r="X223" s="667">
        <f>+'Debt Detail'!X10</f>
        <v>0</v>
      </c>
      <c r="Y223" s="667">
        <f>+'Debt Detail'!Y10</f>
        <v>0</v>
      </c>
      <c r="Z223" s="667">
        <f>+'Debt Detail'!Z10</f>
        <v>0</v>
      </c>
      <c r="AA223" s="667">
        <f>+'Debt Detail'!AA10</f>
        <v>0</v>
      </c>
      <c r="AB223" s="667">
        <f>+'Debt Detail'!AB10</f>
        <v>0</v>
      </c>
      <c r="AC223" s="667">
        <f>+'Debt Detail'!AC10</f>
        <v>0</v>
      </c>
      <c r="AD223" s="667">
        <f>+'Debt Detail'!AD10</f>
        <v>0</v>
      </c>
      <c r="AE223" s="667">
        <f>+'Debt Detail'!AE10</f>
        <v>0</v>
      </c>
      <c r="AF223" s="667">
        <f>+'Debt Detail'!AF10</f>
        <v>0</v>
      </c>
      <c r="AG223" s="667">
        <f>+'Debt Detail'!AG10</f>
        <v>0</v>
      </c>
      <c r="AH223" s="667">
        <f>+'Debt Detail'!AH10</f>
        <v>0</v>
      </c>
      <c r="AI223" s="667">
        <f>+'Debt Detail'!AI10</f>
        <v>0</v>
      </c>
      <c r="AJ223" s="667">
        <f>+'Debt Detail'!AJ10</f>
        <v>0</v>
      </c>
      <c r="AK223" s="667">
        <f>+'Debt Detail'!AK10</f>
        <v>0</v>
      </c>
      <c r="AL223" s="667">
        <f>+'Debt Detail'!AL10</f>
        <v>0</v>
      </c>
      <c r="AM223" s="667">
        <f>+'Debt Detail'!AM10</f>
        <v>0</v>
      </c>
      <c r="AN223" s="667">
        <f>+'Debt Detail'!AN10</f>
        <v>0</v>
      </c>
      <c r="AO223" s="667">
        <f>+'Debt Detail'!AO10</f>
        <v>0</v>
      </c>
      <c r="AP223" s="667">
        <f>+'Debt Detail'!AP10</f>
        <v>0</v>
      </c>
      <c r="AQ223" s="667">
        <f>+'Debt Detail'!AQ10</f>
        <v>0</v>
      </c>
      <c r="AR223" s="667">
        <f>+'Debt Detail'!AR10</f>
        <v>0</v>
      </c>
      <c r="AS223" s="667">
        <f>+'Debt Detail'!AS10</f>
        <v>0</v>
      </c>
      <c r="AT223" s="667">
        <f>+'Debt Detail'!AT10</f>
        <v>0</v>
      </c>
      <c r="AU223" s="667">
        <f>+'Debt Detail'!AU10</f>
        <v>0</v>
      </c>
      <c r="AV223" s="667">
        <f>+'Debt Detail'!AV10</f>
        <v>0</v>
      </c>
      <c r="AW223" s="667">
        <f>+'Debt Detail'!AW10</f>
        <v>0</v>
      </c>
      <c r="AX223" s="667">
        <f>+'Debt Detail'!AX10</f>
        <v>0</v>
      </c>
      <c r="AY223" s="667">
        <f>+'Debt Detail'!AY10</f>
        <v>0</v>
      </c>
      <c r="AZ223" s="667">
        <f>+'Debt Detail'!AZ10</f>
        <v>0</v>
      </c>
      <c r="BA223" s="667">
        <f>+'Debt Detail'!BA10</f>
        <v>0</v>
      </c>
      <c r="BB223" s="667">
        <f>+'Debt Detail'!BB10</f>
        <v>0</v>
      </c>
      <c r="BC223" s="667">
        <f>+'Debt Detail'!BC10</f>
        <v>0</v>
      </c>
      <c r="BD223" s="667">
        <f>+'Debt Detail'!BD10</f>
        <v>0</v>
      </c>
      <c r="BE223" s="667">
        <f>+'Debt Detail'!BE10</f>
        <v>0</v>
      </c>
      <c r="BF223" s="667">
        <f>+'Debt Detail'!BF10</f>
        <v>0</v>
      </c>
      <c r="BG223" s="667">
        <f>+'Debt Detail'!BG10</f>
        <v>0</v>
      </c>
      <c r="BH223" s="667">
        <f>+'Debt Detail'!BH10</f>
        <v>0</v>
      </c>
      <c r="BI223" s="667">
        <f>+'Debt Detail'!BI10</f>
        <v>0</v>
      </c>
      <c r="BJ223" s="667">
        <f>+'Debt Detail'!BJ10</f>
        <v>0</v>
      </c>
      <c r="BK223" s="667">
        <f>+'Debt Detail'!BK10</f>
        <v>0</v>
      </c>
      <c r="BL223" s="667">
        <f>+'Debt Detail'!BL10</f>
        <v>0</v>
      </c>
      <c r="BM223" s="667">
        <f>+'Debt Detail'!BM10</f>
        <v>0</v>
      </c>
      <c r="BN223" s="746">
        <f>+'Debt Detail'!BN10</f>
        <v>0</v>
      </c>
      <c r="BO223" s="746">
        <f>+'Debt Detail'!BO10</f>
        <v>0</v>
      </c>
      <c r="BP223" s="746">
        <f>+'Debt Detail'!BP10</f>
        <v>0</v>
      </c>
      <c r="BQ223" s="746">
        <f>+'Debt Detail'!BQ10</f>
        <v>0</v>
      </c>
      <c r="BR223" s="746">
        <f>+'Debt Detail'!BR10</f>
        <v>0</v>
      </c>
      <c r="BS223" s="746">
        <f>+'Debt Detail'!BS10</f>
        <v>0</v>
      </c>
      <c r="BT223" s="746">
        <f>+'Debt Detail'!BT10</f>
        <v>0</v>
      </c>
    </row>
    <row r="224" spans="1:72" ht="13">
      <c r="A224" s="676">
        <f t="shared" si="323"/>
        <v>218</v>
      </c>
      <c r="B224" s="666" t="str">
        <f>+'Debt Detail'!B11</f>
        <v>Bank loan</v>
      </c>
      <c r="C224" s="229"/>
      <c r="D224" s="229"/>
      <c r="E224" s="165"/>
      <c r="F224" s="165"/>
      <c r="G224" s="165"/>
      <c r="H224" s="165"/>
      <c r="I224" s="165"/>
      <c r="J224" s="165"/>
      <c r="K224" s="165"/>
      <c r="L224" s="165"/>
      <c r="M224" s="165"/>
      <c r="N224" s="165"/>
      <c r="O224" s="165"/>
      <c r="P224" s="165"/>
      <c r="Q224" s="667">
        <f>+'Debt Detail'!Q11</f>
        <v>0</v>
      </c>
      <c r="R224" s="667">
        <f>+'Debt Detail'!R11</f>
        <v>0</v>
      </c>
      <c r="S224" s="667">
        <f>+'Debt Detail'!S11</f>
        <v>0</v>
      </c>
      <c r="T224" s="667">
        <f>+'Debt Detail'!T11</f>
        <v>0</v>
      </c>
      <c r="U224" s="667">
        <f>+'Debt Detail'!U11</f>
        <v>0</v>
      </c>
      <c r="V224" s="667">
        <f>+'Debt Detail'!V11</f>
        <v>0</v>
      </c>
      <c r="W224" s="667">
        <f>+'Debt Detail'!W11</f>
        <v>0</v>
      </c>
      <c r="X224" s="667">
        <f>+'Debt Detail'!X11</f>
        <v>0</v>
      </c>
      <c r="Y224" s="667">
        <f>+'Debt Detail'!Y11</f>
        <v>0</v>
      </c>
      <c r="Z224" s="667">
        <f>+'Debt Detail'!Z11</f>
        <v>0</v>
      </c>
      <c r="AA224" s="667">
        <f>+'Debt Detail'!AA11</f>
        <v>0</v>
      </c>
      <c r="AB224" s="667">
        <f>+'Debt Detail'!AB11</f>
        <v>0</v>
      </c>
      <c r="AC224" s="667">
        <f>+'Debt Detail'!AC11</f>
        <v>0</v>
      </c>
      <c r="AD224" s="667">
        <f>+'Debt Detail'!AD11</f>
        <v>0</v>
      </c>
      <c r="AE224" s="667">
        <f>+'Debt Detail'!AE11</f>
        <v>0</v>
      </c>
      <c r="AF224" s="667">
        <f>+'Debt Detail'!AF11</f>
        <v>0</v>
      </c>
      <c r="AG224" s="667">
        <f>+'Debt Detail'!AG11</f>
        <v>0</v>
      </c>
      <c r="AH224" s="667">
        <f>+'Debt Detail'!AH11</f>
        <v>0</v>
      </c>
      <c r="AI224" s="667">
        <f>+'Debt Detail'!AI11</f>
        <v>0</v>
      </c>
      <c r="AJ224" s="667">
        <f>+'Debt Detail'!AJ11</f>
        <v>0</v>
      </c>
      <c r="AK224" s="667">
        <f>+'Debt Detail'!AK11</f>
        <v>0</v>
      </c>
      <c r="AL224" s="667">
        <f>+'Debt Detail'!AL11</f>
        <v>0</v>
      </c>
      <c r="AM224" s="667">
        <f>+'Debt Detail'!AM11</f>
        <v>0</v>
      </c>
      <c r="AN224" s="667">
        <f>+'Debt Detail'!AN11</f>
        <v>0</v>
      </c>
      <c r="AO224" s="667">
        <f>+'Debt Detail'!AO11</f>
        <v>0</v>
      </c>
      <c r="AP224" s="667">
        <f>+'Debt Detail'!AP11</f>
        <v>0</v>
      </c>
      <c r="AQ224" s="667">
        <f>+'Debt Detail'!AQ11</f>
        <v>0</v>
      </c>
      <c r="AR224" s="667">
        <f>+'Debt Detail'!AR11</f>
        <v>0</v>
      </c>
      <c r="AS224" s="667">
        <f>+'Debt Detail'!AS11</f>
        <v>0</v>
      </c>
      <c r="AT224" s="667">
        <f>+'Debt Detail'!AT11</f>
        <v>0</v>
      </c>
      <c r="AU224" s="667">
        <f>+'Debt Detail'!AU11</f>
        <v>0</v>
      </c>
      <c r="AV224" s="667">
        <f>+'Debt Detail'!AV11</f>
        <v>0</v>
      </c>
      <c r="AW224" s="667">
        <f>+'Debt Detail'!AW11</f>
        <v>0</v>
      </c>
      <c r="AX224" s="667">
        <f>+'Debt Detail'!AX11</f>
        <v>0</v>
      </c>
      <c r="AY224" s="667">
        <f>+'Debt Detail'!AY11</f>
        <v>0</v>
      </c>
      <c r="AZ224" s="667">
        <f>+'Debt Detail'!AZ11</f>
        <v>0</v>
      </c>
      <c r="BA224" s="667">
        <f>+'Debt Detail'!BA11</f>
        <v>0</v>
      </c>
      <c r="BB224" s="667">
        <f>+'Debt Detail'!BB11</f>
        <v>0</v>
      </c>
      <c r="BC224" s="667">
        <f>+'Debt Detail'!BC11</f>
        <v>0</v>
      </c>
      <c r="BD224" s="667">
        <f>+'Debt Detail'!BD11</f>
        <v>0</v>
      </c>
      <c r="BE224" s="667">
        <f>+'Debt Detail'!BE11</f>
        <v>0</v>
      </c>
      <c r="BF224" s="667">
        <f>+'Debt Detail'!BF11</f>
        <v>0</v>
      </c>
      <c r="BG224" s="667">
        <f>+'Debt Detail'!BG11</f>
        <v>0</v>
      </c>
      <c r="BH224" s="667">
        <f>+'Debt Detail'!BH11</f>
        <v>0</v>
      </c>
      <c r="BI224" s="667">
        <f>+'Debt Detail'!BI11</f>
        <v>0</v>
      </c>
      <c r="BJ224" s="667">
        <f>+'Debt Detail'!BJ11</f>
        <v>0</v>
      </c>
      <c r="BK224" s="667">
        <f>+'Debt Detail'!BK11</f>
        <v>0</v>
      </c>
      <c r="BL224" s="667">
        <f>+'Debt Detail'!BL11</f>
        <v>0</v>
      </c>
      <c r="BM224" s="667">
        <f>+'Debt Detail'!BM11</f>
        <v>0</v>
      </c>
      <c r="BN224" s="746">
        <f>+'Debt Detail'!BN11</f>
        <v>0</v>
      </c>
      <c r="BO224" s="746">
        <f>+'Debt Detail'!BO11</f>
        <v>0</v>
      </c>
      <c r="BP224" s="746">
        <f>+'Debt Detail'!BP11</f>
        <v>0</v>
      </c>
      <c r="BQ224" s="746">
        <f>+'Debt Detail'!BQ11</f>
        <v>0</v>
      </c>
      <c r="BR224" s="746">
        <f>+'Debt Detail'!BR11</f>
        <v>0</v>
      </c>
      <c r="BS224" s="746">
        <f>+'Debt Detail'!BS11</f>
        <v>0</v>
      </c>
      <c r="BT224" s="746">
        <f>+'Debt Detail'!BT11</f>
        <v>0</v>
      </c>
    </row>
    <row r="225" spans="1:72" ht="13">
      <c r="A225" s="676">
        <f t="shared" si="323"/>
        <v>219</v>
      </c>
      <c r="B225" s="666" t="str">
        <f>+'Debt Detail'!B12</f>
        <v>Bank loan</v>
      </c>
      <c r="C225" s="229"/>
      <c r="D225" s="229"/>
      <c r="E225" s="165"/>
      <c r="F225" s="165"/>
      <c r="G225" s="165"/>
      <c r="H225" s="165"/>
      <c r="I225" s="165"/>
      <c r="J225" s="165"/>
      <c r="K225" s="165"/>
      <c r="L225" s="165"/>
      <c r="M225" s="165"/>
      <c r="N225" s="165"/>
      <c r="O225" s="165"/>
      <c r="P225" s="165"/>
      <c r="Q225" s="667">
        <f>+'Debt Detail'!Q12</f>
        <v>0</v>
      </c>
      <c r="R225" s="667">
        <f>+'Debt Detail'!R12</f>
        <v>0</v>
      </c>
      <c r="S225" s="667">
        <f>+'Debt Detail'!S12</f>
        <v>0</v>
      </c>
      <c r="T225" s="667">
        <f>+'Debt Detail'!T12</f>
        <v>0</v>
      </c>
      <c r="U225" s="667">
        <f>+'Debt Detail'!U12</f>
        <v>0</v>
      </c>
      <c r="V225" s="667">
        <f>+'Debt Detail'!V12</f>
        <v>0</v>
      </c>
      <c r="W225" s="667">
        <f>+'Debt Detail'!W12</f>
        <v>0</v>
      </c>
      <c r="X225" s="667">
        <f>+'Debt Detail'!X12</f>
        <v>0</v>
      </c>
      <c r="Y225" s="667">
        <f>+'Debt Detail'!Y12</f>
        <v>0</v>
      </c>
      <c r="Z225" s="667">
        <f>+'Debt Detail'!Z12</f>
        <v>0</v>
      </c>
      <c r="AA225" s="667">
        <f>+'Debt Detail'!AA12</f>
        <v>0</v>
      </c>
      <c r="AB225" s="667">
        <f>+'Debt Detail'!AB12</f>
        <v>0</v>
      </c>
      <c r="AC225" s="667">
        <f>+'Debt Detail'!AC12</f>
        <v>0</v>
      </c>
      <c r="AD225" s="667">
        <f>+'Debt Detail'!AD12</f>
        <v>0</v>
      </c>
      <c r="AE225" s="667">
        <f>+'Debt Detail'!AE12</f>
        <v>0</v>
      </c>
      <c r="AF225" s="667">
        <f>+'Debt Detail'!AF12</f>
        <v>0</v>
      </c>
      <c r="AG225" s="667">
        <f>+'Debt Detail'!AG12</f>
        <v>0</v>
      </c>
      <c r="AH225" s="667">
        <f>+'Debt Detail'!AH12</f>
        <v>0</v>
      </c>
      <c r="AI225" s="667">
        <f>+'Debt Detail'!AI12</f>
        <v>0</v>
      </c>
      <c r="AJ225" s="667">
        <f>+'Debt Detail'!AJ12</f>
        <v>0</v>
      </c>
      <c r="AK225" s="667">
        <f>+'Debt Detail'!AK12</f>
        <v>0</v>
      </c>
      <c r="AL225" s="667">
        <f>+'Debt Detail'!AL12</f>
        <v>0</v>
      </c>
      <c r="AM225" s="667">
        <f>+'Debt Detail'!AM12</f>
        <v>0</v>
      </c>
      <c r="AN225" s="667">
        <f>+'Debt Detail'!AN12</f>
        <v>0</v>
      </c>
      <c r="AO225" s="667">
        <f>+'Debt Detail'!AO12</f>
        <v>0</v>
      </c>
      <c r="AP225" s="667">
        <f>+'Debt Detail'!AP12</f>
        <v>0</v>
      </c>
      <c r="AQ225" s="667">
        <f>+'Debt Detail'!AQ12</f>
        <v>0</v>
      </c>
      <c r="AR225" s="667">
        <f>+'Debt Detail'!AR12</f>
        <v>0</v>
      </c>
      <c r="AS225" s="667">
        <f>+'Debt Detail'!AS12</f>
        <v>0</v>
      </c>
      <c r="AT225" s="667">
        <f>+'Debt Detail'!AT12</f>
        <v>0</v>
      </c>
      <c r="AU225" s="667">
        <f>+'Debt Detail'!AU12</f>
        <v>0</v>
      </c>
      <c r="AV225" s="667">
        <f>+'Debt Detail'!AV12</f>
        <v>0</v>
      </c>
      <c r="AW225" s="667">
        <f>+'Debt Detail'!AW12</f>
        <v>0</v>
      </c>
      <c r="AX225" s="667">
        <f>+'Debt Detail'!AX12</f>
        <v>0</v>
      </c>
      <c r="AY225" s="667">
        <f>+'Debt Detail'!AY12</f>
        <v>0</v>
      </c>
      <c r="AZ225" s="667">
        <f>+'Debt Detail'!AZ12</f>
        <v>0</v>
      </c>
      <c r="BA225" s="667">
        <f>+'Debt Detail'!BA12</f>
        <v>0</v>
      </c>
      <c r="BB225" s="667">
        <f>+'Debt Detail'!BB12</f>
        <v>0</v>
      </c>
      <c r="BC225" s="667">
        <f>+'Debt Detail'!BC12</f>
        <v>0</v>
      </c>
      <c r="BD225" s="667">
        <f>+'Debt Detail'!BD12</f>
        <v>0</v>
      </c>
      <c r="BE225" s="667">
        <f>+'Debt Detail'!BE12</f>
        <v>0</v>
      </c>
      <c r="BF225" s="667">
        <f>+'Debt Detail'!BF12</f>
        <v>0</v>
      </c>
      <c r="BG225" s="667">
        <f>+'Debt Detail'!BG12</f>
        <v>0</v>
      </c>
      <c r="BH225" s="667">
        <f>+'Debt Detail'!BH12</f>
        <v>0</v>
      </c>
      <c r="BI225" s="667">
        <f>+'Debt Detail'!BI12</f>
        <v>0</v>
      </c>
      <c r="BJ225" s="667">
        <f>+'Debt Detail'!BJ12</f>
        <v>0</v>
      </c>
      <c r="BK225" s="667">
        <f>+'Debt Detail'!BK12</f>
        <v>0</v>
      </c>
      <c r="BL225" s="667">
        <f>+'Debt Detail'!BL12</f>
        <v>0</v>
      </c>
      <c r="BM225" s="667">
        <f>+'Debt Detail'!BM12</f>
        <v>0</v>
      </c>
      <c r="BN225" s="746">
        <f>+'Debt Detail'!BN12</f>
        <v>0</v>
      </c>
      <c r="BO225" s="746">
        <f>+'Debt Detail'!BO12</f>
        <v>0</v>
      </c>
      <c r="BP225" s="746">
        <f>+'Debt Detail'!BP12</f>
        <v>0</v>
      </c>
      <c r="BQ225" s="746">
        <f>+'Debt Detail'!BQ12</f>
        <v>0</v>
      </c>
      <c r="BR225" s="746">
        <f>+'Debt Detail'!BR12</f>
        <v>0</v>
      </c>
      <c r="BS225" s="746">
        <f>+'Debt Detail'!BS12</f>
        <v>0</v>
      </c>
      <c r="BT225" s="746">
        <f>+'Debt Detail'!BT12</f>
        <v>0</v>
      </c>
    </row>
    <row r="226" spans="1:72" ht="13">
      <c r="A226" s="676">
        <f t="shared" si="323"/>
        <v>220</v>
      </c>
      <c r="B226" s="666" t="str">
        <f>+'Debt Detail'!B13</f>
        <v>Senior notes</v>
      </c>
      <c r="C226" s="229"/>
      <c r="D226" s="229"/>
      <c r="E226" s="165"/>
      <c r="F226" s="165"/>
      <c r="G226" s="165"/>
      <c r="H226" s="165"/>
      <c r="I226" s="165"/>
      <c r="J226" s="165"/>
      <c r="K226" s="165"/>
      <c r="L226" s="165"/>
      <c r="M226" s="165"/>
      <c r="N226" s="165"/>
      <c r="O226" s="165"/>
      <c r="P226" s="165"/>
      <c r="Q226" s="667">
        <f>+'Debt Detail'!Q13</f>
        <v>0</v>
      </c>
      <c r="R226" s="667">
        <f>+'Debt Detail'!R13</f>
        <v>0</v>
      </c>
      <c r="S226" s="667">
        <f>+'Debt Detail'!S13</f>
        <v>0</v>
      </c>
      <c r="T226" s="667">
        <f>+'Debt Detail'!T13</f>
        <v>0</v>
      </c>
      <c r="U226" s="667">
        <f>+'Debt Detail'!U13</f>
        <v>0</v>
      </c>
      <c r="V226" s="667">
        <f>+'Debt Detail'!V13</f>
        <v>0</v>
      </c>
      <c r="W226" s="667">
        <f>+'Debt Detail'!W13</f>
        <v>0</v>
      </c>
      <c r="X226" s="667">
        <f>+'Debt Detail'!X13</f>
        <v>0</v>
      </c>
      <c r="Y226" s="667">
        <f>+'Debt Detail'!Y13</f>
        <v>0</v>
      </c>
      <c r="Z226" s="667">
        <f>+'Debt Detail'!Z13</f>
        <v>0</v>
      </c>
      <c r="AA226" s="667">
        <f>+'Debt Detail'!AA13</f>
        <v>0</v>
      </c>
      <c r="AB226" s="667">
        <f>+'Debt Detail'!AB13</f>
        <v>0</v>
      </c>
      <c r="AC226" s="667">
        <f>+'Debt Detail'!AC13</f>
        <v>0</v>
      </c>
      <c r="AD226" s="667">
        <f>+'Debt Detail'!AD13</f>
        <v>0</v>
      </c>
      <c r="AE226" s="667">
        <f>+'Debt Detail'!AE13</f>
        <v>0</v>
      </c>
      <c r="AF226" s="667">
        <f>+'Debt Detail'!AF13</f>
        <v>0</v>
      </c>
      <c r="AG226" s="667">
        <f>+'Debt Detail'!AG13</f>
        <v>0</v>
      </c>
      <c r="AH226" s="667">
        <f>+'Debt Detail'!AH13</f>
        <v>0</v>
      </c>
      <c r="AI226" s="667">
        <f>+'Debt Detail'!AI13</f>
        <v>0</v>
      </c>
      <c r="AJ226" s="667">
        <f>+'Debt Detail'!AJ13</f>
        <v>0</v>
      </c>
      <c r="AK226" s="667">
        <f>+'Debt Detail'!AK13</f>
        <v>0</v>
      </c>
      <c r="AL226" s="667">
        <f>+'Debt Detail'!AL13</f>
        <v>0</v>
      </c>
      <c r="AM226" s="667">
        <f>+'Debt Detail'!AM13</f>
        <v>0</v>
      </c>
      <c r="AN226" s="667">
        <f>+'Debt Detail'!AN13</f>
        <v>0</v>
      </c>
      <c r="AO226" s="667">
        <f>+'Debt Detail'!AO13</f>
        <v>0</v>
      </c>
      <c r="AP226" s="667">
        <f>+'Debt Detail'!AP13</f>
        <v>0</v>
      </c>
      <c r="AQ226" s="667">
        <f>+'Debt Detail'!AQ13</f>
        <v>0</v>
      </c>
      <c r="AR226" s="667">
        <f>+'Debt Detail'!AR13</f>
        <v>0</v>
      </c>
      <c r="AS226" s="667">
        <f>+'Debt Detail'!AS13</f>
        <v>0</v>
      </c>
      <c r="AT226" s="667">
        <f>+'Debt Detail'!AT13</f>
        <v>0</v>
      </c>
      <c r="AU226" s="667">
        <f>+'Debt Detail'!AU13</f>
        <v>0</v>
      </c>
      <c r="AV226" s="667">
        <f>+'Debt Detail'!AV13</f>
        <v>0</v>
      </c>
      <c r="AW226" s="667">
        <f>+'Debt Detail'!AW13</f>
        <v>0</v>
      </c>
      <c r="AX226" s="667">
        <f>+'Debt Detail'!AX13</f>
        <v>0</v>
      </c>
      <c r="AY226" s="667">
        <f>+'Debt Detail'!AY13</f>
        <v>0</v>
      </c>
      <c r="AZ226" s="667">
        <f>+'Debt Detail'!AZ13</f>
        <v>0</v>
      </c>
      <c r="BA226" s="667">
        <f>+'Debt Detail'!BA13</f>
        <v>0</v>
      </c>
      <c r="BB226" s="667">
        <f>+'Debt Detail'!BB13</f>
        <v>0</v>
      </c>
      <c r="BC226" s="667">
        <f>+'Debt Detail'!BC13</f>
        <v>0</v>
      </c>
      <c r="BD226" s="667">
        <f>+'Debt Detail'!BD13</f>
        <v>0</v>
      </c>
      <c r="BE226" s="667">
        <f>+'Debt Detail'!BE13</f>
        <v>0</v>
      </c>
      <c r="BF226" s="667">
        <f>+'Debt Detail'!BF13</f>
        <v>0</v>
      </c>
      <c r="BG226" s="667">
        <f>+'Debt Detail'!BG13</f>
        <v>0</v>
      </c>
      <c r="BH226" s="667">
        <f>+'Debt Detail'!BH13</f>
        <v>0</v>
      </c>
      <c r="BI226" s="667">
        <f>+'Debt Detail'!BI13</f>
        <v>0</v>
      </c>
      <c r="BJ226" s="667">
        <f>+'Debt Detail'!BJ13</f>
        <v>0</v>
      </c>
      <c r="BK226" s="667">
        <f>+'Debt Detail'!BK13</f>
        <v>0</v>
      </c>
      <c r="BL226" s="667">
        <f>+'Debt Detail'!BL13</f>
        <v>0</v>
      </c>
      <c r="BM226" s="667">
        <f>+'Debt Detail'!BM13</f>
        <v>0</v>
      </c>
      <c r="BN226" s="746">
        <f>+'Debt Detail'!BN13</f>
        <v>0</v>
      </c>
      <c r="BO226" s="746">
        <f>+'Debt Detail'!BO13</f>
        <v>0</v>
      </c>
      <c r="BP226" s="746">
        <f>+'Debt Detail'!BP13</f>
        <v>0</v>
      </c>
      <c r="BQ226" s="746">
        <f>+'Debt Detail'!BQ13</f>
        <v>0</v>
      </c>
      <c r="BR226" s="746">
        <f>+'Debt Detail'!BR13</f>
        <v>0</v>
      </c>
      <c r="BS226" s="746">
        <f>+'Debt Detail'!BS13</f>
        <v>0</v>
      </c>
      <c r="BT226" s="746">
        <f>+'Debt Detail'!BT13</f>
        <v>0</v>
      </c>
    </row>
    <row r="227" spans="1:72" ht="13">
      <c r="A227" s="676">
        <f t="shared" si="323"/>
        <v>221</v>
      </c>
      <c r="B227" s="666" t="str">
        <f>+'Debt Detail'!B14</f>
        <v>Senior notes</v>
      </c>
      <c r="C227" s="229"/>
      <c r="D227" s="229"/>
      <c r="E227" s="165"/>
      <c r="F227" s="165"/>
      <c r="G227" s="165"/>
      <c r="H227" s="165"/>
      <c r="I227" s="165"/>
      <c r="J227" s="165"/>
      <c r="K227" s="165"/>
      <c r="L227" s="165"/>
      <c r="M227" s="165"/>
      <c r="N227" s="165"/>
      <c r="O227" s="165"/>
      <c r="P227" s="165"/>
      <c r="Q227" s="667">
        <f>+'Debt Detail'!Q14</f>
        <v>0</v>
      </c>
      <c r="R227" s="667">
        <f>+'Debt Detail'!R14</f>
        <v>0</v>
      </c>
      <c r="S227" s="667">
        <f>+'Debt Detail'!S14</f>
        <v>0</v>
      </c>
      <c r="T227" s="667">
        <f>+'Debt Detail'!T14</f>
        <v>0</v>
      </c>
      <c r="U227" s="667">
        <f>+'Debt Detail'!U14</f>
        <v>0</v>
      </c>
      <c r="V227" s="667">
        <f>+'Debt Detail'!V14</f>
        <v>0</v>
      </c>
      <c r="W227" s="667">
        <f>+'Debt Detail'!W14</f>
        <v>0</v>
      </c>
      <c r="X227" s="667">
        <f>+'Debt Detail'!X14</f>
        <v>0</v>
      </c>
      <c r="Y227" s="667">
        <f>+'Debt Detail'!Y14</f>
        <v>0</v>
      </c>
      <c r="Z227" s="667">
        <f>+'Debt Detail'!Z14</f>
        <v>0</v>
      </c>
      <c r="AA227" s="667">
        <f>+'Debt Detail'!AA14</f>
        <v>0</v>
      </c>
      <c r="AB227" s="667">
        <f>+'Debt Detail'!AB14</f>
        <v>0</v>
      </c>
      <c r="AC227" s="667">
        <f>+'Debt Detail'!AC14</f>
        <v>0</v>
      </c>
      <c r="AD227" s="667">
        <f>+'Debt Detail'!AD14</f>
        <v>0</v>
      </c>
      <c r="AE227" s="667">
        <f>+'Debt Detail'!AE14</f>
        <v>0</v>
      </c>
      <c r="AF227" s="667">
        <f>+'Debt Detail'!AF14</f>
        <v>0</v>
      </c>
      <c r="AG227" s="667">
        <f>+'Debt Detail'!AG14</f>
        <v>0</v>
      </c>
      <c r="AH227" s="667">
        <f>+'Debt Detail'!AH14</f>
        <v>0</v>
      </c>
      <c r="AI227" s="667">
        <f>+'Debt Detail'!AI14</f>
        <v>0</v>
      </c>
      <c r="AJ227" s="667">
        <f>+'Debt Detail'!AJ14</f>
        <v>0</v>
      </c>
      <c r="AK227" s="667">
        <f>+'Debt Detail'!AK14</f>
        <v>0</v>
      </c>
      <c r="AL227" s="667">
        <f>+'Debt Detail'!AL14</f>
        <v>0</v>
      </c>
      <c r="AM227" s="667">
        <f>+'Debt Detail'!AM14</f>
        <v>0</v>
      </c>
      <c r="AN227" s="667">
        <f>+'Debt Detail'!AN14</f>
        <v>0</v>
      </c>
      <c r="AO227" s="667">
        <f>+'Debt Detail'!AO14</f>
        <v>0</v>
      </c>
      <c r="AP227" s="667">
        <f>+'Debt Detail'!AP14</f>
        <v>0</v>
      </c>
      <c r="AQ227" s="667">
        <f>+'Debt Detail'!AQ14</f>
        <v>0</v>
      </c>
      <c r="AR227" s="667">
        <f>+'Debt Detail'!AR14</f>
        <v>0</v>
      </c>
      <c r="AS227" s="667">
        <f>+'Debt Detail'!AS14</f>
        <v>0</v>
      </c>
      <c r="AT227" s="667">
        <f>+'Debt Detail'!AT14</f>
        <v>0</v>
      </c>
      <c r="AU227" s="667">
        <f>+'Debt Detail'!AU14</f>
        <v>0</v>
      </c>
      <c r="AV227" s="667">
        <f>+'Debt Detail'!AV14</f>
        <v>0</v>
      </c>
      <c r="AW227" s="667">
        <f>+'Debt Detail'!AW14</f>
        <v>0</v>
      </c>
      <c r="AX227" s="667">
        <f>+'Debt Detail'!AX14</f>
        <v>0</v>
      </c>
      <c r="AY227" s="667">
        <f>+'Debt Detail'!AY14</f>
        <v>0</v>
      </c>
      <c r="AZ227" s="667">
        <f>+'Debt Detail'!AZ14</f>
        <v>0</v>
      </c>
      <c r="BA227" s="667">
        <f>+'Debt Detail'!BA14</f>
        <v>0</v>
      </c>
      <c r="BB227" s="667">
        <f>+'Debt Detail'!BB14</f>
        <v>0</v>
      </c>
      <c r="BC227" s="667">
        <f>+'Debt Detail'!BC14</f>
        <v>0</v>
      </c>
      <c r="BD227" s="667">
        <f>+'Debt Detail'!BD14</f>
        <v>0</v>
      </c>
      <c r="BE227" s="667">
        <f>+'Debt Detail'!BE14</f>
        <v>0</v>
      </c>
      <c r="BF227" s="667">
        <f>+'Debt Detail'!BF14</f>
        <v>0</v>
      </c>
      <c r="BG227" s="667">
        <f>+'Debt Detail'!BG14</f>
        <v>0</v>
      </c>
      <c r="BH227" s="667">
        <f>+'Debt Detail'!BH14</f>
        <v>0</v>
      </c>
      <c r="BI227" s="667">
        <f>+'Debt Detail'!BI14</f>
        <v>0</v>
      </c>
      <c r="BJ227" s="667">
        <f>+'Debt Detail'!BJ14</f>
        <v>0</v>
      </c>
      <c r="BK227" s="667">
        <f>+'Debt Detail'!BK14</f>
        <v>0</v>
      </c>
      <c r="BL227" s="667">
        <f>+'Debt Detail'!BL14</f>
        <v>0</v>
      </c>
      <c r="BM227" s="667">
        <f>+'Debt Detail'!BM14</f>
        <v>0</v>
      </c>
      <c r="BN227" s="746">
        <f>+'Debt Detail'!BN14</f>
        <v>0</v>
      </c>
      <c r="BO227" s="746">
        <f>+'Debt Detail'!BO14</f>
        <v>0</v>
      </c>
      <c r="BP227" s="746">
        <f>+'Debt Detail'!BP14</f>
        <v>0</v>
      </c>
      <c r="BQ227" s="746">
        <f>+'Debt Detail'!BQ14</f>
        <v>0</v>
      </c>
      <c r="BR227" s="746">
        <f>+'Debt Detail'!BR14</f>
        <v>0</v>
      </c>
      <c r="BS227" s="746">
        <f>+'Debt Detail'!BS14</f>
        <v>0</v>
      </c>
      <c r="BT227" s="746">
        <f>+'Debt Detail'!BT14</f>
        <v>0</v>
      </c>
    </row>
    <row r="228" spans="1:72" ht="13">
      <c r="A228" s="676">
        <f t="shared" si="323"/>
        <v>222</v>
      </c>
      <c r="B228" s="666" t="str">
        <f>+'Debt Detail'!B15</f>
        <v>Subordinated notes</v>
      </c>
      <c r="C228" s="229"/>
      <c r="D228" s="229"/>
      <c r="E228" s="668"/>
      <c r="F228" s="668"/>
      <c r="G228" s="668"/>
      <c r="H228" s="668"/>
      <c r="I228" s="668"/>
      <c r="J228" s="668"/>
      <c r="K228" s="668"/>
      <c r="L228" s="668"/>
      <c r="M228" s="668"/>
      <c r="N228" s="668"/>
      <c r="O228" s="668"/>
      <c r="P228" s="668"/>
      <c r="Q228" s="669">
        <f>+'Debt Detail'!Q15</f>
        <v>0</v>
      </c>
      <c r="R228" s="669">
        <f>+'Debt Detail'!R15</f>
        <v>0</v>
      </c>
      <c r="S228" s="669">
        <f>+'Debt Detail'!S15</f>
        <v>0</v>
      </c>
      <c r="T228" s="669">
        <f>+'Debt Detail'!T15</f>
        <v>0</v>
      </c>
      <c r="U228" s="669">
        <f>+'Debt Detail'!U15</f>
        <v>0</v>
      </c>
      <c r="V228" s="669">
        <f>+'Debt Detail'!V15</f>
        <v>0</v>
      </c>
      <c r="W228" s="669">
        <f>+'Debt Detail'!W15</f>
        <v>0</v>
      </c>
      <c r="X228" s="669">
        <f>+'Debt Detail'!X15</f>
        <v>0</v>
      </c>
      <c r="Y228" s="669">
        <f>+'Debt Detail'!Y15</f>
        <v>0</v>
      </c>
      <c r="Z228" s="669">
        <f>+'Debt Detail'!Z15</f>
        <v>0</v>
      </c>
      <c r="AA228" s="669">
        <f>+'Debt Detail'!AA15</f>
        <v>0</v>
      </c>
      <c r="AB228" s="669">
        <f>+'Debt Detail'!AB15</f>
        <v>0</v>
      </c>
      <c r="AC228" s="669">
        <f>+'Debt Detail'!AC15</f>
        <v>0</v>
      </c>
      <c r="AD228" s="669">
        <f>+'Debt Detail'!AD15</f>
        <v>0</v>
      </c>
      <c r="AE228" s="669">
        <f>+'Debt Detail'!AE15</f>
        <v>0</v>
      </c>
      <c r="AF228" s="669">
        <f>+'Debt Detail'!AF15</f>
        <v>0</v>
      </c>
      <c r="AG228" s="669">
        <f>+'Debt Detail'!AG15</f>
        <v>0</v>
      </c>
      <c r="AH228" s="669">
        <f>+'Debt Detail'!AH15</f>
        <v>0</v>
      </c>
      <c r="AI228" s="669">
        <f>+'Debt Detail'!AI15</f>
        <v>0</v>
      </c>
      <c r="AJ228" s="669">
        <f>+'Debt Detail'!AJ15</f>
        <v>0</v>
      </c>
      <c r="AK228" s="669">
        <f>+'Debt Detail'!AK15</f>
        <v>0</v>
      </c>
      <c r="AL228" s="669">
        <f>+'Debt Detail'!AL15</f>
        <v>0</v>
      </c>
      <c r="AM228" s="669">
        <f>+'Debt Detail'!AM15</f>
        <v>0</v>
      </c>
      <c r="AN228" s="669">
        <f>+'Debt Detail'!AN15</f>
        <v>0</v>
      </c>
      <c r="AO228" s="669">
        <f>+'Debt Detail'!AO15</f>
        <v>0</v>
      </c>
      <c r="AP228" s="669">
        <f>+'Debt Detail'!AP15</f>
        <v>0</v>
      </c>
      <c r="AQ228" s="669">
        <f>+'Debt Detail'!AQ15</f>
        <v>0</v>
      </c>
      <c r="AR228" s="669">
        <f>+'Debt Detail'!AR15</f>
        <v>0</v>
      </c>
      <c r="AS228" s="669">
        <f>+'Debt Detail'!AS15</f>
        <v>0</v>
      </c>
      <c r="AT228" s="669">
        <f>+'Debt Detail'!AT15</f>
        <v>0</v>
      </c>
      <c r="AU228" s="669">
        <f>+'Debt Detail'!AU15</f>
        <v>0</v>
      </c>
      <c r="AV228" s="669">
        <f>+'Debt Detail'!AV15</f>
        <v>0</v>
      </c>
      <c r="AW228" s="669">
        <f>+'Debt Detail'!AW15</f>
        <v>0</v>
      </c>
      <c r="AX228" s="669">
        <f>+'Debt Detail'!AX15</f>
        <v>0</v>
      </c>
      <c r="AY228" s="669">
        <f>+'Debt Detail'!AY15</f>
        <v>0</v>
      </c>
      <c r="AZ228" s="669">
        <f>+'Debt Detail'!AZ15</f>
        <v>0</v>
      </c>
      <c r="BA228" s="669">
        <f>+'Debt Detail'!BA15</f>
        <v>0</v>
      </c>
      <c r="BB228" s="669">
        <f>+'Debt Detail'!BB15</f>
        <v>0</v>
      </c>
      <c r="BC228" s="669">
        <f>+'Debt Detail'!BC15</f>
        <v>0</v>
      </c>
      <c r="BD228" s="669">
        <f>+'Debt Detail'!BD15</f>
        <v>0</v>
      </c>
      <c r="BE228" s="669">
        <f>+'Debt Detail'!BE15</f>
        <v>0</v>
      </c>
      <c r="BF228" s="669">
        <f>+'Debt Detail'!BF15</f>
        <v>0</v>
      </c>
      <c r="BG228" s="669">
        <f>+'Debt Detail'!BG15</f>
        <v>0</v>
      </c>
      <c r="BH228" s="669">
        <f>+'Debt Detail'!BH15</f>
        <v>0</v>
      </c>
      <c r="BI228" s="669">
        <f>+'Debt Detail'!BI15</f>
        <v>0</v>
      </c>
      <c r="BJ228" s="669">
        <f>+'Debt Detail'!BJ15</f>
        <v>0</v>
      </c>
      <c r="BK228" s="669">
        <f>+'Debt Detail'!BK15</f>
        <v>0</v>
      </c>
      <c r="BL228" s="669">
        <f>+'Debt Detail'!BL15</f>
        <v>0</v>
      </c>
      <c r="BM228" s="669">
        <f>+'Debt Detail'!BM15</f>
        <v>0</v>
      </c>
      <c r="BN228" s="747">
        <f>+'Debt Detail'!BN15</f>
        <v>0</v>
      </c>
      <c r="BO228" s="747">
        <f>+'Debt Detail'!BO15</f>
        <v>0</v>
      </c>
      <c r="BP228" s="747">
        <f>+'Debt Detail'!BP15</f>
        <v>0</v>
      </c>
      <c r="BQ228" s="747">
        <f>+'Debt Detail'!BQ15</f>
        <v>0</v>
      </c>
      <c r="BR228" s="747">
        <f>+'Debt Detail'!BR15</f>
        <v>0</v>
      </c>
      <c r="BS228" s="747">
        <f>+'Debt Detail'!BS15</f>
        <v>0</v>
      </c>
      <c r="BT228" s="747">
        <f>+'Debt Detail'!BT15</f>
        <v>0</v>
      </c>
    </row>
    <row r="229" spans="1:72" ht="13">
      <c r="A229" s="676">
        <f t="shared" si="323"/>
        <v>223</v>
      </c>
      <c r="B229" s="229" t="str">
        <f>+'Debt Detail'!B16</f>
        <v>Total Debt</v>
      </c>
      <c r="C229" s="229"/>
      <c r="D229" s="229"/>
      <c r="E229" s="165"/>
      <c r="F229" s="165"/>
      <c r="G229" s="165"/>
      <c r="H229" s="165"/>
      <c r="I229" s="165"/>
      <c r="J229" s="165"/>
      <c r="K229" s="165"/>
      <c r="L229" s="165"/>
      <c r="M229" s="165"/>
      <c r="N229" s="165"/>
      <c r="O229" s="165"/>
      <c r="P229" s="165"/>
      <c r="Q229" s="667">
        <f>+'Debt Detail'!Q16</f>
        <v>0</v>
      </c>
      <c r="R229" s="667">
        <f>+'Debt Detail'!R16</f>
        <v>0</v>
      </c>
      <c r="S229" s="667">
        <f>+'Debt Detail'!S16</f>
        <v>0</v>
      </c>
      <c r="T229" s="667">
        <f>+'Debt Detail'!T16</f>
        <v>0</v>
      </c>
      <c r="U229" s="667">
        <f>+'Debt Detail'!U16</f>
        <v>0</v>
      </c>
      <c r="V229" s="667">
        <f>+'Debt Detail'!V16</f>
        <v>0</v>
      </c>
      <c r="W229" s="667">
        <f>+'Debt Detail'!W16</f>
        <v>0</v>
      </c>
      <c r="X229" s="667">
        <f>+'Debt Detail'!X16</f>
        <v>0</v>
      </c>
      <c r="Y229" s="667">
        <f>+'Debt Detail'!Y16</f>
        <v>0</v>
      </c>
      <c r="Z229" s="667">
        <f>+'Debt Detail'!Z16</f>
        <v>0</v>
      </c>
      <c r="AA229" s="667">
        <f>+'Debt Detail'!AA16</f>
        <v>0</v>
      </c>
      <c r="AB229" s="667">
        <f>+'Debt Detail'!AB16</f>
        <v>0</v>
      </c>
      <c r="AC229" s="667">
        <f>+'Debt Detail'!AC16</f>
        <v>0</v>
      </c>
      <c r="AD229" s="667">
        <f>+'Debt Detail'!AD16</f>
        <v>0</v>
      </c>
      <c r="AE229" s="667">
        <f>+'Debt Detail'!AE16</f>
        <v>0</v>
      </c>
      <c r="AF229" s="667">
        <f>+'Debt Detail'!AF16</f>
        <v>0</v>
      </c>
      <c r="AG229" s="667">
        <f>+'Debt Detail'!AG16</f>
        <v>0</v>
      </c>
      <c r="AH229" s="667">
        <f>+'Debt Detail'!AH16</f>
        <v>0</v>
      </c>
      <c r="AI229" s="667">
        <f>+'Debt Detail'!AI16</f>
        <v>0</v>
      </c>
      <c r="AJ229" s="667">
        <f>+'Debt Detail'!AJ16</f>
        <v>0</v>
      </c>
      <c r="AK229" s="667">
        <f>+'Debt Detail'!AK16</f>
        <v>0</v>
      </c>
      <c r="AL229" s="667">
        <f>+'Debt Detail'!AL16</f>
        <v>0</v>
      </c>
      <c r="AM229" s="667">
        <f>+'Debt Detail'!AM16</f>
        <v>0</v>
      </c>
      <c r="AN229" s="667">
        <f>+'Debt Detail'!AN16</f>
        <v>0</v>
      </c>
      <c r="AO229" s="667">
        <f>+'Debt Detail'!AO16</f>
        <v>0</v>
      </c>
      <c r="AP229" s="667">
        <f>+'Debt Detail'!AP16</f>
        <v>0</v>
      </c>
      <c r="AQ229" s="667">
        <f>+'Debt Detail'!AQ16</f>
        <v>0</v>
      </c>
      <c r="AR229" s="667">
        <f>+'Debt Detail'!AR16</f>
        <v>0</v>
      </c>
      <c r="AS229" s="667">
        <f>+'Debt Detail'!AS16</f>
        <v>0</v>
      </c>
      <c r="AT229" s="667">
        <f>+'Debt Detail'!AT16</f>
        <v>0</v>
      </c>
      <c r="AU229" s="667">
        <f>+'Debt Detail'!AU16</f>
        <v>0</v>
      </c>
      <c r="AV229" s="667">
        <f>+'Debt Detail'!AV16</f>
        <v>0</v>
      </c>
      <c r="AW229" s="667">
        <f>+'Debt Detail'!AW16</f>
        <v>0</v>
      </c>
      <c r="AX229" s="667">
        <f>+'Debt Detail'!AX16</f>
        <v>0</v>
      </c>
      <c r="AY229" s="667">
        <f>+'Debt Detail'!AY16</f>
        <v>0</v>
      </c>
      <c r="AZ229" s="667">
        <f>+'Debt Detail'!AZ16</f>
        <v>0</v>
      </c>
      <c r="BA229" s="667">
        <f>+'Debt Detail'!BA16</f>
        <v>0</v>
      </c>
      <c r="BB229" s="667">
        <f>+'Debt Detail'!BB16</f>
        <v>0</v>
      </c>
      <c r="BC229" s="667">
        <f>+'Debt Detail'!BC16</f>
        <v>0</v>
      </c>
      <c r="BD229" s="667">
        <f>+'Debt Detail'!BD16</f>
        <v>0</v>
      </c>
      <c r="BE229" s="667">
        <f>+'Debt Detail'!BE16</f>
        <v>0</v>
      </c>
      <c r="BF229" s="667">
        <f>+'Debt Detail'!BF16</f>
        <v>0</v>
      </c>
      <c r="BG229" s="667">
        <f>+'Debt Detail'!BG16</f>
        <v>0</v>
      </c>
      <c r="BH229" s="667">
        <f>+'Debt Detail'!BH16</f>
        <v>0</v>
      </c>
      <c r="BI229" s="667">
        <f>+'Debt Detail'!BI16</f>
        <v>0</v>
      </c>
      <c r="BJ229" s="667">
        <f>+'Debt Detail'!BJ16</f>
        <v>0</v>
      </c>
      <c r="BK229" s="667">
        <f>+'Debt Detail'!BK16</f>
        <v>0</v>
      </c>
      <c r="BL229" s="667">
        <f>+'Debt Detail'!BL16</f>
        <v>0</v>
      </c>
      <c r="BM229" s="667">
        <f>+'Debt Detail'!BM16</f>
        <v>0</v>
      </c>
      <c r="BN229" s="746">
        <f>+'Debt Detail'!BN16</f>
        <v>0</v>
      </c>
      <c r="BO229" s="746">
        <f>+'Debt Detail'!BO16</f>
        <v>0</v>
      </c>
      <c r="BP229" s="746">
        <f>+'Debt Detail'!BP16</f>
        <v>0</v>
      </c>
      <c r="BQ229" s="746">
        <f>+'Debt Detail'!BQ16</f>
        <v>0</v>
      </c>
      <c r="BR229" s="746">
        <f>+'Debt Detail'!BR16</f>
        <v>0</v>
      </c>
      <c r="BS229" s="746">
        <f>+'Debt Detail'!BS16</f>
        <v>0</v>
      </c>
      <c r="BT229" s="746">
        <f>+'Debt Detail'!BT16</f>
        <v>0</v>
      </c>
    </row>
    <row r="230" spans="1:72" ht="13">
      <c r="A230" s="676">
        <f t="shared" si="323"/>
        <v>224</v>
      </c>
      <c r="B230" s="229"/>
      <c r="C230" s="229"/>
      <c r="D230" s="229"/>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c r="AE230" s="165"/>
      <c r="AF230" s="165"/>
      <c r="AG230" s="165"/>
      <c r="AH230" s="165"/>
      <c r="AI230" s="165"/>
      <c r="AJ230" s="165"/>
      <c r="AK230" s="165"/>
      <c r="AL230" s="165"/>
      <c r="AM230" s="165"/>
      <c r="AN230" s="165"/>
      <c r="AO230" s="165"/>
      <c r="AP230" s="165"/>
      <c r="AQ230" s="165"/>
      <c r="AR230" s="165"/>
      <c r="AS230" s="165"/>
      <c r="AT230" s="165"/>
      <c r="AU230" s="165"/>
      <c r="AV230" s="165"/>
      <c r="AW230" s="165"/>
      <c r="AX230" s="165"/>
      <c r="AY230" s="165"/>
      <c r="AZ230" s="165"/>
      <c r="BA230" s="165"/>
      <c r="BB230" s="165"/>
      <c r="BC230" s="165"/>
      <c r="BD230" s="165"/>
      <c r="BE230" s="165"/>
      <c r="BF230" s="165"/>
      <c r="BG230" s="165"/>
      <c r="BH230" s="165"/>
      <c r="BI230" s="165"/>
      <c r="BJ230" s="165"/>
      <c r="BK230" s="165"/>
      <c r="BL230" s="165"/>
      <c r="BM230" s="165"/>
      <c r="BN230" s="435"/>
      <c r="BO230" s="435"/>
      <c r="BP230" s="435"/>
      <c r="BQ230" s="435"/>
      <c r="BR230" s="435"/>
      <c r="BS230" s="435"/>
      <c r="BT230" s="435"/>
    </row>
    <row r="231" spans="1:72" ht="13">
      <c r="A231" s="676">
        <f t="shared" si="323"/>
        <v>225</v>
      </c>
      <c r="D231" s="230"/>
      <c r="H231" s="204"/>
      <c r="M231" s="204"/>
      <c r="R231" s="204"/>
    </row>
    <row r="232" spans="1:72" ht="13">
      <c r="A232" s="676">
        <f t="shared" si="323"/>
        <v>226</v>
      </c>
      <c r="B232" s="167" t="s">
        <v>302</v>
      </c>
      <c r="E232" s="227"/>
      <c r="F232" s="227"/>
      <c r="G232" s="227"/>
      <c r="H232" s="658"/>
      <c r="I232" s="658"/>
      <c r="J232" s="658"/>
      <c r="K232" s="227"/>
      <c r="L232" s="227"/>
      <c r="M232" s="658"/>
      <c r="N232" s="658"/>
      <c r="O232" s="658"/>
      <c r="P232" s="658"/>
      <c r="Q232" s="659"/>
      <c r="R232" s="658"/>
      <c r="S232" s="227"/>
      <c r="T232" s="227"/>
      <c r="U232" s="227"/>
      <c r="V232" s="227"/>
      <c r="W232" s="660"/>
      <c r="X232" s="227"/>
      <c r="Y232" s="227"/>
      <c r="Z232" s="227"/>
      <c r="AA232" s="227"/>
      <c r="AB232" s="660"/>
      <c r="AC232" s="227"/>
      <c r="AD232" s="227"/>
      <c r="AE232" s="227"/>
      <c r="AF232" s="227"/>
      <c r="AG232" s="660"/>
      <c r="AH232" s="227"/>
      <c r="AI232" s="227"/>
      <c r="AJ232" s="227"/>
      <c r="AK232" s="227"/>
      <c r="AL232" s="660"/>
      <c r="AM232" s="227"/>
      <c r="AN232" s="227"/>
      <c r="AO232" s="227"/>
      <c r="AP232" s="227"/>
      <c r="AQ232" s="660"/>
      <c r="AR232" s="227"/>
      <c r="AS232" s="227"/>
      <c r="AT232" s="227"/>
      <c r="AU232" s="227"/>
      <c r="AV232" s="660"/>
      <c r="AW232" s="227"/>
      <c r="AX232" s="227"/>
      <c r="AY232" s="227"/>
      <c r="AZ232" s="227"/>
      <c r="BA232" s="660"/>
      <c r="BB232" s="227"/>
      <c r="BC232" s="227"/>
      <c r="BD232" s="227"/>
      <c r="BE232" s="227"/>
      <c r="BF232" s="660"/>
      <c r="BG232" s="227"/>
      <c r="BH232" s="227"/>
      <c r="BI232" s="227"/>
      <c r="BJ232" s="227"/>
      <c r="BK232" s="660"/>
      <c r="BL232" s="227"/>
      <c r="BM232" s="227"/>
      <c r="BN232" s="383"/>
      <c r="BO232" s="383"/>
      <c r="BP232" s="383"/>
      <c r="BQ232" s="383"/>
      <c r="BR232" s="383"/>
      <c r="BS232" s="383"/>
      <c r="BT232" s="383"/>
    </row>
    <row r="233" spans="1:72" ht="13">
      <c r="A233" s="676">
        <f t="shared" si="323"/>
        <v>227</v>
      </c>
      <c r="E233" s="293"/>
      <c r="F233" s="293"/>
      <c r="G233" s="293"/>
      <c r="H233" s="293"/>
      <c r="I233" s="293"/>
      <c r="J233" s="293"/>
      <c r="K233" s="28"/>
      <c r="L233" s="293"/>
      <c r="M233" s="293"/>
      <c r="N233" s="293"/>
      <c r="O233" s="658"/>
      <c r="P233" s="28"/>
      <c r="Q233" s="661"/>
      <c r="R233" s="293"/>
      <c r="S233" s="28"/>
      <c r="T233" s="28"/>
      <c r="U233" s="28"/>
      <c r="V233" s="293"/>
      <c r="W233" s="28"/>
      <c r="X233" s="28"/>
      <c r="Y233" s="28"/>
      <c r="Z233" s="28"/>
      <c r="AA233" s="293"/>
      <c r="AB233" s="28"/>
      <c r="AC233" s="28"/>
      <c r="AD233" s="28"/>
      <c r="AE233" s="28"/>
      <c r="AF233" s="293"/>
      <c r="AG233" s="28"/>
      <c r="AH233" s="28"/>
      <c r="AI233" s="28"/>
      <c r="AJ233" s="28"/>
      <c r="AK233" s="293"/>
      <c r="AL233" s="28"/>
      <c r="AM233" s="28"/>
      <c r="AN233" s="28"/>
      <c r="AO233" s="28"/>
      <c r="AP233" s="293"/>
      <c r="AQ233" s="28"/>
      <c r="AR233" s="28"/>
      <c r="AS233" s="28"/>
      <c r="AT233" s="28"/>
      <c r="AU233" s="293"/>
      <c r="AV233" s="28"/>
      <c r="AW233" s="28"/>
      <c r="AX233" s="28"/>
      <c r="AY233" s="28"/>
      <c r="AZ233" s="293"/>
      <c r="BA233" s="28"/>
      <c r="BB233" s="28"/>
      <c r="BC233" s="28"/>
      <c r="BD233" s="28"/>
      <c r="BE233" s="293"/>
      <c r="BF233" s="28"/>
      <c r="BG233" s="28"/>
      <c r="BH233" s="28"/>
      <c r="BI233" s="28"/>
      <c r="BJ233" s="293"/>
      <c r="BK233" s="28"/>
      <c r="BL233" s="28"/>
      <c r="BM233" s="28"/>
      <c r="BN233" s="359"/>
      <c r="BO233" s="433"/>
      <c r="BP233" s="359"/>
      <c r="BQ233" s="359"/>
      <c r="BR233" s="359"/>
      <c r="BS233" s="359"/>
      <c r="BT233" s="433"/>
    </row>
    <row r="234" spans="1:72" ht="13">
      <c r="A234" s="676">
        <f t="shared" si="323"/>
        <v>228</v>
      </c>
      <c r="B234" s="27" t="s">
        <v>303</v>
      </c>
      <c r="E234" s="293"/>
      <c r="F234" s="293"/>
      <c r="G234" s="293"/>
      <c r="H234" s="293"/>
      <c r="I234" s="293"/>
      <c r="J234" s="293"/>
      <c r="K234" s="28"/>
      <c r="L234" s="293"/>
      <c r="M234" s="293"/>
      <c r="N234" s="293"/>
      <c r="O234" s="658"/>
      <c r="P234" s="28"/>
      <c r="Q234" s="661"/>
      <c r="R234" s="293"/>
      <c r="S234" s="28"/>
      <c r="T234" s="28"/>
      <c r="U234" s="28"/>
      <c r="V234" s="293"/>
      <c r="W234" s="28"/>
      <c r="X234" s="28"/>
      <c r="Y234" s="28"/>
      <c r="Z234" s="28"/>
      <c r="AA234" s="293"/>
      <c r="AB234" s="28"/>
      <c r="AC234" s="28"/>
      <c r="AD234" s="28"/>
      <c r="AE234" s="28"/>
      <c r="AF234" s="293"/>
      <c r="AG234" s="28"/>
      <c r="AH234" s="28"/>
      <c r="AI234" s="28"/>
      <c r="AJ234" s="28"/>
      <c r="AK234" s="293"/>
      <c r="AL234" s="28"/>
      <c r="AM234" s="28"/>
      <c r="AN234" s="28"/>
      <c r="AO234" s="28"/>
      <c r="AP234" s="293"/>
      <c r="AQ234" s="28"/>
      <c r="AR234" s="28"/>
      <c r="AS234" s="28"/>
      <c r="AT234" s="28"/>
      <c r="AU234" s="293"/>
      <c r="AV234" s="28"/>
      <c r="AW234" s="28"/>
      <c r="AX234" s="28"/>
      <c r="AY234" s="28"/>
      <c r="AZ234" s="293"/>
      <c r="BA234" s="28"/>
      <c r="BB234" s="28"/>
      <c r="BC234" s="28"/>
      <c r="BD234" s="28"/>
      <c r="BE234" s="293"/>
      <c r="BF234" s="28"/>
      <c r="BG234" s="28"/>
      <c r="BH234" s="28"/>
      <c r="BI234" s="28"/>
      <c r="BJ234" s="293"/>
      <c r="BK234" s="28"/>
      <c r="BL234" s="28"/>
      <c r="BM234" s="28"/>
      <c r="BN234" s="359"/>
      <c r="BO234" s="433"/>
      <c r="BP234" s="359"/>
      <c r="BQ234" s="359"/>
      <c r="BR234" s="359"/>
      <c r="BS234" s="359"/>
      <c r="BT234" s="433"/>
    </row>
    <row r="235" spans="1:72" ht="13">
      <c r="A235" s="676">
        <f t="shared" si="323"/>
        <v>229</v>
      </c>
      <c r="B235" s="27" t="s">
        <v>304</v>
      </c>
      <c r="E235" s="32" t="e">
        <f>E187/E59</f>
        <v>#DIV/0!</v>
      </c>
      <c r="F235" s="32" t="e">
        <f>F187/F59</f>
        <v>#DIV/0!</v>
      </c>
      <c r="G235" s="32" t="e">
        <f>G187/G59</f>
        <v>#DIV/0!</v>
      </c>
      <c r="H235" s="32" t="e">
        <f>H187/H59/4</f>
        <v>#DIV/0!</v>
      </c>
      <c r="I235" s="32" t="e">
        <f>I187/I59/4</f>
        <v>#DIV/0!</v>
      </c>
      <c r="J235" s="32" t="e">
        <f>J187/J59/4</f>
        <v>#DIV/0!</v>
      </c>
      <c r="K235" s="32" t="e">
        <f>K187/K59/4</f>
        <v>#DIV/0!</v>
      </c>
      <c r="L235" s="32" t="e">
        <f>L187/L59</f>
        <v>#DIV/0!</v>
      </c>
      <c r="M235" s="32" t="e">
        <f>M187/M59/4</f>
        <v>#DIV/0!</v>
      </c>
      <c r="N235" s="32" t="e">
        <f>N187/N59/4</f>
        <v>#DIV/0!</v>
      </c>
      <c r="O235" s="32" t="e">
        <f>O187/O59/4</f>
        <v>#DIV/0!</v>
      </c>
      <c r="P235" s="32" t="e">
        <f>P187/P59/4</f>
        <v>#DIV/0!</v>
      </c>
      <c r="Q235" s="32" t="e">
        <f>Q187/Q59</f>
        <v>#DIV/0!</v>
      </c>
      <c r="R235" s="32" t="e">
        <f>R187/R59/4</f>
        <v>#DIV/0!</v>
      </c>
      <c r="S235" s="32" t="e">
        <f>S187/S59/4</f>
        <v>#DIV/0!</v>
      </c>
      <c r="T235" s="32" t="e">
        <f>T187/T59/4</f>
        <v>#DIV/0!</v>
      </c>
      <c r="U235" s="32" t="e">
        <f>U187/U59/4</f>
        <v>#DIV/0!</v>
      </c>
      <c r="V235" s="32" t="e">
        <f>V187/V59</f>
        <v>#DIV/0!</v>
      </c>
      <c r="W235" s="32" t="e">
        <f>W187/W59/4</f>
        <v>#DIV/0!</v>
      </c>
      <c r="X235" s="32" t="e">
        <f>X187/X59/4</f>
        <v>#DIV/0!</v>
      </c>
      <c r="Y235" s="32" t="e">
        <f>Y187/Y59/4</f>
        <v>#DIV/0!</v>
      </c>
      <c r="Z235" s="32" t="e">
        <f>Z187/Z59/4</f>
        <v>#DIV/0!</v>
      </c>
      <c r="AA235" s="32" t="e">
        <f>AA187/AA59</f>
        <v>#DIV/0!</v>
      </c>
      <c r="AB235" s="32" t="e">
        <f>AB187/AB59/4</f>
        <v>#DIV/0!</v>
      </c>
      <c r="AC235" s="32" t="e">
        <f>AC187/AC59/4</f>
        <v>#DIV/0!</v>
      </c>
      <c r="AD235" s="32" t="e">
        <f>AD187/AD59/4</f>
        <v>#DIV/0!</v>
      </c>
      <c r="AE235" s="32" t="e">
        <f>AE187/AE59/4</f>
        <v>#DIV/0!</v>
      </c>
      <c r="AF235" s="32" t="e">
        <f>AF187/AF59</f>
        <v>#DIV/0!</v>
      </c>
      <c r="AG235" s="32" t="e">
        <f>AG187/AG59/4</f>
        <v>#DIV/0!</v>
      </c>
      <c r="AH235" s="32" t="e">
        <f>AH187/AH59/4</f>
        <v>#DIV/0!</v>
      </c>
      <c r="AI235" s="32" t="e">
        <f>AI187/AI59/4</f>
        <v>#DIV/0!</v>
      </c>
      <c r="AJ235" s="32" t="e">
        <f>AJ187/AJ59/4</f>
        <v>#DIV/0!</v>
      </c>
      <c r="AK235" s="32" t="e">
        <f>AK187/AK59</f>
        <v>#DIV/0!</v>
      </c>
      <c r="AL235" s="32" t="e">
        <f>AL187/AL59/4</f>
        <v>#DIV/0!</v>
      </c>
      <c r="AM235" s="32" t="e">
        <f>AM187/AM59/4</f>
        <v>#DIV/0!</v>
      </c>
      <c r="AN235" s="32" t="e">
        <f>AN187/AN59/4</f>
        <v>#DIV/0!</v>
      </c>
      <c r="AO235" s="32" t="e">
        <f>AO187/AO59/4</f>
        <v>#DIV/0!</v>
      </c>
      <c r="AP235" s="32" t="e">
        <f>AP187/AP59</f>
        <v>#DIV/0!</v>
      </c>
      <c r="AQ235" s="32" t="e">
        <f>AQ187/AQ59/4</f>
        <v>#DIV/0!</v>
      </c>
      <c r="AR235" s="32" t="e">
        <f>AR187/AR59/4</f>
        <v>#DIV/0!</v>
      </c>
      <c r="AS235" s="32" t="e">
        <f>AS187/AS59/4</f>
        <v>#DIV/0!</v>
      </c>
      <c r="AT235" s="32" t="e">
        <f>AT187/AT59/4</f>
        <v>#DIV/0!</v>
      </c>
      <c r="AU235" s="32" t="e">
        <f>AU187/AU59</f>
        <v>#DIV/0!</v>
      </c>
      <c r="AV235" s="32" t="e">
        <f>AV187/AV59/4</f>
        <v>#DIV/0!</v>
      </c>
      <c r="AW235" s="32" t="e">
        <f>AW187/AW59/4</f>
        <v>#DIV/0!</v>
      </c>
      <c r="AX235" s="32" t="e">
        <f>AX187/AX59/4</f>
        <v>#DIV/0!</v>
      </c>
      <c r="AY235" s="32" t="e">
        <f>AY187/AY59/4</f>
        <v>#DIV/0!</v>
      </c>
      <c r="AZ235" s="32" t="e">
        <f>AZ187/AZ59</f>
        <v>#DIV/0!</v>
      </c>
      <c r="BA235" s="32" t="e">
        <f>BA187/BA59/4</f>
        <v>#DIV/0!</v>
      </c>
      <c r="BB235" s="32" t="e">
        <f>BB187/BB59/4</f>
        <v>#DIV/0!</v>
      </c>
      <c r="BC235" s="32" t="e">
        <f>BC187/BC59/4</f>
        <v>#DIV/0!</v>
      </c>
      <c r="BD235" s="32" t="e">
        <f>BD187/BD59/4</f>
        <v>#DIV/0!</v>
      </c>
      <c r="BE235" s="32" t="e">
        <f>BE187/BE59</f>
        <v>#DIV/0!</v>
      </c>
      <c r="BF235" s="32" t="e">
        <f>BF187/BF59/4</f>
        <v>#DIV/0!</v>
      </c>
      <c r="BG235" s="32" t="e">
        <f>BG187/BG59/4</f>
        <v>#DIV/0!</v>
      </c>
      <c r="BH235" s="32" t="e">
        <f>BH187/BH59/4</f>
        <v>#DIV/0!</v>
      </c>
      <c r="BI235" s="32" t="e">
        <f>BI187/BI59/4</f>
        <v>#DIV/0!</v>
      </c>
      <c r="BJ235" s="32" t="e">
        <f>BJ187/BJ59</f>
        <v>#DIV/0!</v>
      </c>
      <c r="BK235" s="32" t="e">
        <f>BK187/BK59/4</f>
        <v>#DIV/0!</v>
      </c>
      <c r="BL235" s="32" t="e">
        <f>BL187/BL59/4</f>
        <v>#DIV/0!</v>
      </c>
      <c r="BM235" s="32" t="e">
        <f>BM187/BM59/4</f>
        <v>#DIV/0!</v>
      </c>
      <c r="BN235" s="364" t="e">
        <f>BI235</f>
        <v>#DIV/0!</v>
      </c>
      <c r="BO235" s="364" t="e">
        <f>BO187/BO59</f>
        <v>#DIV/0!</v>
      </c>
      <c r="BP235" s="364" t="e">
        <f>BK235</f>
        <v>#DIV/0!</v>
      </c>
      <c r="BQ235" s="364" t="e">
        <f>BL235</f>
        <v>#DIV/0!</v>
      </c>
      <c r="BR235" s="364" t="e">
        <f>BM235</f>
        <v>#DIV/0!</v>
      </c>
      <c r="BS235" s="364" t="e">
        <f>BN235</f>
        <v>#DIV/0!</v>
      </c>
      <c r="BT235" s="364" t="e">
        <f>BT187/BT59</f>
        <v>#DIV/0!</v>
      </c>
    </row>
    <row r="236" spans="1:72" ht="13">
      <c r="A236" s="676">
        <f t="shared" si="323"/>
        <v>230</v>
      </c>
      <c r="B236" s="27" t="s">
        <v>305</v>
      </c>
      <c r="E236" s="332" t="e">
        <f>365/(E59/E187)</f>
        <v>#DIV/0!</v>
      </c>
      <c r="F236" s="332" t="e">
        <f>365/(F59/F187)</f>
        <v>#DIV/0!</v>
      </c>
      <c r="G236" s="332" t="e">
        <f>365/(G59/G187)</f>
        <v>#DIV/0!</v>
      </c>
      <c r="H236" s="332" t="e">
        <f>365/(H59/H187*4)</f>
        <v>#DIV/0!</v>
      </c>
      <c r="I236" s="332" t="e">
        <f>365/(I59/I187*4)</f>
        <v>#DIV/0!</v>
      </c>
      <c r="J236" s="332" t="e">
        <f>365/(J59/J187*4)</f>
        <v>#DIV/0!</v>
      </c>
      <c r="K236" s="332" t="e">
        <f>365/(K59/K187*4)</f>
        <v>#DIV/0!</v>
      </c>
      <c r="L236" s="332" t="e">
        <f>365/(L59/L187)</f>
        <v>#DIV/0!</v>
      </c>
      <c r="M236" s="332" t="e">
        <f>365/(M59/M187*4)</f>
        <v>#DIV/0!</v>
      </c>
      <c r="N236" s="332" t="e">
        <f>365/(N59/N187*4)</f>
        <v>#DIV/0!</v>
      </c>
      <c r="O236" s="332" t="e">
        <f>365/(O59/O187*4)</f>
        <v>#DIV/0!</v>
      </c>
      <c r="P236" s="332" t="e">
        <f>365/(P59/P187*4)</f>
        <v>#DIV/0!</v>
      </c>
      <c r="Q236" s="332" t="e">
        <f>365/(Q59/Q187)</f>
        <v>#DIV/0!</v>
      </c>
      <c r="R236" s="332" t="e">
        <f>365/(R59/R187*4)</f>
        <v>#DIV/0!</v>
      </c>
      <c r="S236" s="332" t="e">
        <f>365/(S59/S187*4)</f>
        <v>#DIV/0!</v>
      </c>
      <c r="T236" s="332" t="e">
        <f>365/(T59/T187*4)</f>
        <v>#DIV/0!</v>
      </c>
      <c r="U236" s="332" t="e">
        <f>365/(U59/U187*4)</f>
        <v>#DIV/0!</v>
      </c>
      <c r="V236" s="332" t="e">
        <f>365/(V59/V187)</f>
        <v>#DIV/0!</v>
      </c>
      <c r="W236" s="332" t="e">
        <f>365/(W59/W187*4)</f>
        <v>#DIV/0!</v>
      </c>
      <c r="X236" s="332" t="e">
        <f>365/(X59/X187*4)</f>
        <v>#DIV/0!</v>
      </c>
      <c r="Y236" s="332" t="e">
        <f>365/(Y59/Y187*4)</f>
        <v>#DIV/0!</v>
      </c>
      <c r="Z236" s="332" t="e">
        <f>365/(Z59/Z187*4)</f>
        <v>#DIV/0!</v>
      </c>
      <c r="AA236" s="332" t="e">
        <f>365/(AA59/AA187)</f>
        <v>#DIV/0!</v>
      </c>
      <c r="AB236" s="332" t="e">
        <f>365/(AB59/AB187*4)</f>
        <v>#DIV/0!</v>
      </c>
      <c r="AC236" s="332" t="e">
        <f>365/(AC59/AC187*4)</f>
        <v>#DIV/0!</v>
      </c>
      <c r="AD236" s="332" t="e">
        <f>365/(AD59/AD187*4)</f>
        <v>#DIV/0!</v>
      </c>
      <c r="AE236" s="332" t="e">
        <f>365/(AE59/AE187*4)</f>
        <v>#DIV/0!</v>
      </c>
      <c r="AF236" s="332" t="e">
        <f>365/(AF59/AF187)</f>
        <v>#DIV/0!</v>
      </c>
      <c r="AG236" s="332" t="e">
        <f>365/(AG59/AG187*4)</f>
        <v>#DIV/0!</v>
      </c>
      <c r="AH236" s="332" t="e">
        <f>365/(AH59/AH187*4)</f>
        <v>#DIV/0!</v>
      </c>
      <c r="AI236" s="332" t="e">
        <f>365/(AI59/AI187*4)</f>
        <v>#DIV/0!</v>
      </c>
      <c r="AJ236" s="332" t="e">
        <f>365/(AJ59/AJ187*4)</f>
        <v>#DIV/0!</v>
      </c>
      <c r="AK236" s="332" t="e">
        <f>365/(AK59/AK187)</f>
        <v>#DIV/0!</v>
      </c>
      <c r="AL236" s="332" t="e">
        <f>365/(AL59/AL187*4)</f>
        <v>#DIV/0!</v>
      </c>
      <c r="AM236" s="332" t="e">
        <f>365/(AM59/AM187*4)</f>
        <v>#DIV/0!</v>
      </c>
      <c r="AN236" s="332" t="e">
        <f>365/(AN59/AN187*4)</f>
        <v>#DIV/0!</v>
      </c>
      <c r="AO236" s="332" t="e">
        <f>365/(AO59/AO187*4)</f>
        <v>#DIV/0!</v>
      </c>
      <c r="AP236" s="332" t="e">
        <f>365/(AP59/AP187)</f>
        <v>#DIV/0!</v>
      </c>
      <c r="AQ236" s="332" t="e">
        <f>365/(AQ59/AQ187*4)</f>
        <v>#DIV/0!</v>
      </c>
      <c r="AR236" s="332" t="e">
        <f>365/(AR59/AR187*4)</f>
        <v>#DIV/0!</v>
      </c>
      <c r="AS236" s="332" t="e">
        <f>365/(AS59/AS187*4)</f>
        <v>#DIV/0!</v>
      </c>
      <c r="AT236" s="332" t="e">
        <f>365/(AT59/AT187*4)</f>
        <v>#DIV/0!</v>
      </c>
      <c r="AU236" s="332" t="e">
        <f>365/(AU59/AU187)</f>
        <v>#DIV/0!</v>
      </c>
      <c r="AV236" s="332" t="e">
        <f>365/(AV59/AV187*4)</f>
        <v>#DIV/0!</v>
      </c>
      <c r="AW236" s="332" t="e">
        <f>365/(AW59/AW187*4)</f>
        <v>#DIV/0!</v>
      </c>
      <c r="AX236" s="332" t="e">
        <f>365/(AX59/AX187*4)</f>
        <v>#DIV/0!</v>
      </c>
      <c r="AY236" s="332" t="e">
        <f>365/(AY59/AY187*4)</f>
        <v>#DIV/0!</v>
      </c>
      <c r="AZ236" s="332" t="e">
        <f>365/(AZ59/AZ187)</f>
        <v>#DIV/0!</v>
      </c>
      <c r="BA236" s="332" t="e">
        <f>365/(BA59/BA187*4)</f>
        <v>#DIV/0!</v>
      </c>
      <c r="BB236" s="332" t="e">
        <f>365/(BB59/BB187*4)</f>
        <v>#DIV/0!</v>
      </c>
      <c r="BC236" s="332" t="e">
        <f>365/(BC59/BC187*4)</f>
        <v>#DIV/0!</v>
      </c>
      <c r="BD236" s="332" t="e">
        <f>365/(BD59/BD187*4)</f>
        <v>#DIV/0!</v>
      </c>
      <c r="BE236" s="332" t="e">
        <f>365/(BE59/BE187)</f>
        <v>#DIV/0!</v>
      </c>
      <c r="BF236" s="332" t="e">
        <f>365/(BF59/BF187*4)</f>
        <v>#DIV/0!</v>
      </c>
      <c r="BG236" s="332" t="e">
        <f>365/(BG59/BG187*4)</f>
        <v>#DIV/0!</v>
      </c>
      <c r="BH236" s="332" t="e">
        <f>365/(BH59/BH187*4)</f>
        <v>#DIV/0!</v>
      </c>
      <c r="BI236" s="332" t="e">
        <f>365/(BI59/BI187*4)</f>
        <v>#DIV/0!</v>
      </c>
      <c r="BJ236" s="332" t="e">
        <f>365/(BJ59/BJ187)</f>
        <v>#DIV/0!</v>
      </c>
      <c r="BK236" s="332" t="e">
        <f>365/(BK59/BK187*4)</f>
        <v>#DIV/0!</v>
      </c>
      <c r="BL236" s="332" t="e">
        <f>365/(BL59/BL187*4)</f>
        <v>#DIV/0!</v>
      </c>
      <c r="BM236" s="332" t="e">
        <f>365/(BM59/BM187*4)</f>
        <v>#DIV/0!</v>
      </c>
      <c r="BN236" s="434" t="e">
        <f>365/(BN59/BN187*4)</f>
        <v>#DIV/0!</v>
      </c>
      <c r="BO236" s="434" t="e">
        <f>365/(BO59/BO187)</f>
        <v>#DIV/0!</v>
      </c>
      <c r="BP236" s="434" t="e">
        <f>365/(BP59/BP187*4)</f>
        <v>#DIV/0!</v>
      </c>
      <c r="BQ236" s="434" t="e">
        <f>365/(BQ59/BQ187*4)</f>
        <v>#DIV/0!</v>
      </c>
      <c r="BR236" s="434" t="e">
        <f>365/(BR59/BR187*4)</f>
        <v>#DIV/0!</v>
      </c>
      <c r="BS236" s="434" t="e">
        <f>365/(BS59/BS187*4)</f>
        <v>#DIV/0!</v>
      </c>
      <c r="BT236" s="434" t="e">
        <f>365/(BT59/BT187)</f>
        <v>#DIV/0!</v>
      </c>
    </row>
    <row r="237" spans="1:72" ht="13">
      <c r="A237" s="676">
        <f t="shared" si="323"/>
        <v>231</v>
      </c>
      <c r="B237" s="28"/>
      <c r="E237" s="28"/>
      <c r="F237" s="28"/>
      <c r="G237" s="28"/>
      <c r="K237" s="28"/>
      <c r="L237" s="28"/>
      <c r="P237" s="28"/>
      <c r="Q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359"/>
      <c r="BO237" s="359"/>
      <c r="BP237" s="359"/>
      <c r="BQ237" s="359"/>
      <c r="BR237" s="359"/>
      <c r="BS237" s="359"/>
      <c r="BT237" s="359"/>
    </row>
    <row r="238" spans="1:72" ht="13">
      <c r="A238" s="676">
        <f t="shared" si="323"/>
        <v>232</v>
      </c>
      <c r="B238" s="28" t="s">
        <v>275</v>
      </c>
      <c r="E238" s="28"/>
      <c r="F238" s="28"/>
      <c r="G238" s="28"/>
      <c r="K238" s="28"/>
      <c r="L238" s="28"/>
      <c r="P238" s="28"/>
      <c r="Q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359"/>
      <c r="BO238" s="359"/>
      <c r="BP238" s="359"/>
      <c r="BQ238" s="359"/>
      <c r="BR238" s="359"/>
      <c r="BS238" s="359"/>
      <c r="BT238" s="359"/>
    </row>
    <row r="239" spans="1:72" s="228" customFormat="1" ht="13">
      <c r="A239" s="676">
        <f t="shared" si="323"/>
        <v>233</v>
      </c>
      <c r="B239" s="32" t="s">
        <v>306</v>
      </c>
      <c r="E239" s="32" t="e">
        <f>E188/E65</f>
        <v>#DIV/0!</v>
      </c>
      <c r="F239" s="32" t="e">
        <f>F188/F65</f>
        <v>#DIV/0!</v>
      </c>
      <c r="G239" s="32" t="e">
        <f>G188/G65</f>
        <v>#DIV/0!</v>
      </c>
      <c r="H239" s="32" t="e">
        <f>H188/H65/4</f>
        <v>#DIV/0!</v>
      </c>
      <c r="I239" s="32" t="e">
        <f>I188/I65/4</f>
        <v>#DIV/0!</v>
      </c>
      <c r="J239" s="32" t="e">
        <f>J188/J65/4</f>
        <v>#DIV/0!</v>
      </c>
      <c r="K239" s="32" t="e">
        <f>K188/K65/4</f>
        <v>#DIV/0!</v>
      </c>
      <c r="L239" s="32" t="e">
        <f>L188/L65</f>
        <v>#DIV/0!</v>
      </c>
      <c r="M239" s="32" t="e">
        <f>M188/M65/4</f>
        <v>#DIV/0!</v>
      </c>
      <c r="N239" s="32" t="e">
        <f>N188/N65/4</f>
        <v>#DIV/0!</v>
      </c>
      <c r="O239" s="32" t="e">
        <f>O188/O65/4</f>
        <v>#DIV/0!</v>
      </c>
      <c r="P239" s="32" t="e">
        <f>P188/P65/4</f>
        <v>#DIV/0!</v>
      </c>
      <c r="Q239" s="32" t="e">
        <f>Q188/Q65</f>
        <v>#DIV/0!</v>
      </c>
      <c r="R239" s="32" t="e">
        <f>R188/R65/4</f>
        <v>#DIV/0!</v>
      </c>
      <c r="S239" s="32" t="e">
        <f>S188/S65/4</f>
        <v>#DIV/0!</v>
      </c>
      <c r="T239" s="32" t="e">
        <f>T188/T65/4</f>
        <v>#DIV/0!</v>
      </c>
      <c r="U239" s="32" t="e">
        <f>U188/U65/4</f>
        <v>#DIV/0!</v>
      </c>
      <c r="V239" s="32" t="e">
        <f>V188/V65</f>
        <v>#DIV/0!</v>
      </c>
      <c r="W239" s="32" t="e">
        <f>W188/W65/4</f>
        <v>#DIV/0!</v>
      </c>
      <c r="X239" s="32" t="e">
        <f>X188/X65/4</f>
        <v>#DIV/0!</v>
      </c>
      <c r="Y239" s="32" t="e">
        <f>Y188/Y65/4</f>
        <v>#DIV/0!</v>
      </c>
      <c r="Z239" s="32" t="e">
        <f>Z188/Z65/4</f>
        <v>#DIV/0!</v>
      </c>
      <c r="AA239" s="32" t="e">
        <f>AA188/AA65</f>
        <v>#DIV/0!</v>
      </c>
      <c r="AB239" s="32" t="e">
        <f>AB188/AB65/4</f>
        <v>#DIV/0!</v>
      </c>
      <c r="AC239" s="32" t="e">
        <f>AC188/AC65/4</f>
        <v>#DIV/0!</v>
      </c>
      <c r="AD239" s="32" t="e">
        <f>AD188/AD65/4</f>
        <v>#DIV/0!</v>
      </c>
      <c r="AE239" s="32" t="e">
        <f>AE188/AE65/4</f>
        <v>#DIV/0!</v>
      </c>
      <c r="AF239" s="32" t="e">
        <f>AF188/AF65</f>
        <v>#DIV/0!</v>
      </c>
      <c r="AG239" s="32" t="e">
        <f>AG188/AG65/4</f>
        <v>#DIV/0!</v>
      </c>
      <c r="AH239" s="32" t="e">
        <f>AH188/AH65/4</f>
        <v>#DIV/0!</v>
      </c>
      <c r="AI239" s="32" t="e">
        <f>AI188/AI65/4</f>
        <v>#DIV/0!</v>
      </c>
      <c r="AJ239" s="32" t="e">
        <f>AJ188/AJ65/4</f>
        <v>#DIV/0!</v>
      </c>
      <c r="AK239" s="32" t="e">
        <f>AK188/AK65</f>
        <v>#DIV/0!</v>
      </c>
      <c r="AL239" s="32" t="e">
        <f>AL188/AL65/4</f>
        <v>#DIV/0!</v>
      </c>
      <c r="AM239" s="32" t="e">
        <f>AM188/AM65/4</f>
        <v>#DIV/0!</v>
      </c>
      <c r="AN239" s="32" t="e">
        <f>AN188/AN65/4</f>
        <v>#DIV/0!</v>
      </c>
      <c r="AO239" s="32" t="e">
        <f>AO188/AO65/4</f>
        <v>#DIV/0!</v>
      </c>
      <c r="AP239" s="32" t="e">
        <f>AP188/AP65</f>
        <v>#DIV/0!</v>
      </c>
      <c r="AQ239" s="32" t="e">
        <f>AQ188/AQ65/4</f>
        <v>#DIV/0!</v>
      </c>
      <c r="AR239" s="32" t="e">
        <f>AR188/AR65/4</f>
        <v>#DIV/0!</v>
      </c>
      <c r="AS239" s="32" t="e">
        <f>AS188/AS65/4</f>
        <v>#DIV/0!</v>
      </c>
      <c r="AT239" s="32" t="e">
        <f>AT188/AT65/4</f>
        <v>#DIV/0!</v>
      </c>
      <c r="AU239" s="32" t="e">
        <f>AU188/AU65</f>
        <v>#DIV/0!</v>
      </c>
      <c r="AV239" s="32" t="e">
        <f>AV188/AV65/4</f>
        <v>#DIV/0!</v>
      </c>
      <c r="AW239" s="32" t="e">
        <f>AW188/AW65/4</f>
        <v>#DIV/0!</v>
      </c>
      <c r="AX239" s="32" t="e">
        <f>AX188/AX65/4</f>
        <v>#DIV/0!</v>
      </c>
      <c r="AY239" s="32" t="e">
        <f>AY188/AY65/4</f>
        <v>#DIV/0!</v>
      </c>
      <c r="AZ239" s="32" t="e">
        <f>AZ188/AZ65</f>
        <v>#DIV/0!</v>
      </c>
      <c r="BA239" s="32" t="e">
        <f>BA188/BA65/4</f>
        <v>#DIV/0!</v>
      </c>
      <c r="BB239" s="32" t="e">
        <f>BB188/BB65/4</f>
        <v>#DIV/0!</v>
      </c>
      <c r="BC239" s="32" t="e">
        <f>BC188/BC65/4</f>
        <v>#DIV/0!</v>
      </c>
      <c r="BD239" s="32" t="e">
        <f>BD188/BD65/4</f>
        <v>#DIV/0!</v>
      </c>
      <c r="BE239" s="32" t="e">
        <f>BE188/BE65</f>
        <v>#DIV/0!</v>
      </c>
      <c r="BF239" s="32" t="e">
        <f>BF188/BF65/4</f>
        <v>#DIV/0!</v>
      </c>
      <c r="BG239" s="32" t="e">
        <f>BG188/BG65/4</f>
        <v>#DIV/0!</v>
      </c>
      <c r="BH239" s="32" t="e">
        <f>BH188/BH65/4</f>
        <v>#DIV/0!</v>
      </c>
      <c r="BI239" s="32" t="e">
        <f>BI188/BI65/4</f>
        <v>#DIV/0!</v>
      </c>
      <c r="BJ239" s="32" t="e">
        <f>BJ188/BJ65</f>
        <v>#DIV/0!</v>
      </c>
      <c r="BK239" s="32" t="e">
        <f>BK188/BK65/4</f>
        <v>#DIV/0!</v>
      </c>
      <c r="BL239" s="32" t="e">
        <f>BL188/BL65/4</f>
        <v>#DIV/0!</v>
      </c>
      <c r="BM239" s="32" t="e">
        <f>BM188/BM65/4</f>
        <v>#DIV/0!</v>
      </c>
      <c r="BN239" s="364" t="e">
        <f>BI239</f>
        <v>#DIV/0!</v>
      </c>
      <c r="BO239" s="364" t="e">
        <f>BO188/BO65</f>
        <v>#DIV/0!</v>
      </c>
      <c r="BP239" s="364" t="e">
        <f>BK239</f>
        <v>#DIV/0!</v>
      </c>
      <c r="BQ239" s="364" t="e">
        <f>BL239</f>
        <v>#DIV/0!</v>
      </c>
      <c r="BR239" s="364" t="e">
        <f>BM239</f>
        <v>#DIV/0!</v>
      </c>
      <c r="BS239" s="364" t="e">
        <f>BN239</f>
        <v>#DIV/0!</v>
      </c>
      <c r="BT239" s="364" t="e">
        <f>BT188/BT65</f>
        <v>#DIV/0!</v>
      </c>
    </row>
    <row r="240" spans="1:72" ht="13">
      <c r="A240" s="676">
        <f t="shared" si="323"/>
        <v>234</v>
      </c>
      <c r="B240" s="27" t="s">
        <v>307</v>
      </c>
      <c r="E240" s="332" t="e">
        <f>365/(E65/E188)</f>
        <v>#DIV/0!</v>
      </c>
      <c r="F240" s="332" t="e">
        <f>365/(F65/F188)</f>
        <v>#DIV/0!</v>
      </c>
      <c r="G240" s="332" t="e">
        <f>365/(G65/G188)</f>
        <v>#DIV/0!</v>
      </c>
      <c r="H240" s="332" t="e">
        <f>365/(H65/H188*4)</f>
        <v>#DIV/0!</v>
      </c>
      <c r="I240" s="332" t="e">
        <f>365/(I65/I188*4)</f>
        <v>#DIV/0!</v>
      </c>
      <c r="J240" s="332" t="e">
        <f>365/(J65/J188*4)</f>
        <v>#DIV/0!</v>
      </c>
      <c r="K240" s="332" t="e">
        <f>365/(K65/K188*4)</f>
        <v>#DIV/0!</v>
      </c>
      <c r="L240" s="332" t="e">
        <f>365/(L65/L188)</f>
        <v>#DIV/0!</v>
      </c>
      <c r="M240" s="332" t="e">
        <f>365/(M65/M188*4)</f>
        <v>#DIV/0!</v>
      </c>
      <c r="N240" s="332" t="e">
        <f>365/(N65/N188*4)</f>
        <v>#DIV/0!</v>
      </c>
      <c r="O240" s="332" t="e">
        <f>365/(O65/O188*4)</f>
        <v>#DIV/0!</v>
      </c>
      <c r="P240" s="332" t="e">
        <f>365/(P65/P188*4)</f>
        <v>#DIV/0!</v>
      </c>
      <c r="Q240" s="332" t="e">
        <f>365/(Q65/Q188)</f>
        <v>#DIV/0!</v>
      </c>
      <c r="R240" s="332" t="e">
        <f>365/(R65/R188*4)</f>
        <v>#DIV/0!</v>
      </c>
      <c r="S240" s="332" t="e">
        <f>365/(S65/S188*4)</f>
        <v>#DIV/0!</v>
      </c>
      <c r="T240" s="332" t="e">
        <f>365/(T65/T188*4)</f>
        <v>#DIV/0!</v>
      </c>
      <c r="U240" s="332" t="e">
        <f>365/(U65/U188*4)</f>
        <v>#DIV/0!</v>
      </c>
      <c r="V240" s="332" t="e">
        <f>365/(V65/V188)</f>
        <v>#DIV/0!</v>
      </c>
      <c r="W240" s="332" t="e">
        <f>365/(W65/W188*4)</f>
        <v>#DIV/0!</v>
      </c>
      <c r="X240" s="332" t="e">
        <f>365/(X65/X188*4)</f>
        <v>#DIV/0!</v>
      </c>
      <c r="Y240" s="332" t="e">
        <f>365/(Y65/Y188*4)</f>
        <v>#DIV/0!</v>
      </c>
      <c r="Z240" s="332" t="e">
        <f>365/(Z65/Z188*4)</f>
        <v>#DIV/0!</v>
      </c>
      <c r="AA240" s="332" t="e">
        <f>365/(AA65/AA188)</f>
        <v>#DIV/0!</v>
      </c>
      <c r="AB240" s="332" t="e">
        <f>365/(AB65/AB188*4)</f>
        <v>#DIV/0!</v>
      </c>
      <c r="AC240" s="332" t="e">
        <f>365/(AC65/AC188*4)</f>
        <v>#DIV/0!</v>
      </c>
      <c r="AD240" s="332" t="e">
        <f>365/(AD65/AD188*4)</f>
        <v>#DIV/0!</v>
      </c>
      <c r="AE240" s="332" t="e">
        <f>365/(AE65/AE188*4)</f>
        <v>#DIV/0!</v>
      </c>
      <c r="AF240" s="332" t="e">
        <f>365/(AF65/AF188)</f>
        <v>#DIV/0!</v>
      </c>
      <c r="AG240" s="332" t="e">
        <f>365/(AG65/AG188*4)</f>
        <v>#DIV/0!</v>
      </c>
      <c r="AH240" s="332" t="e">
        <f>365/(AH65/AH188*4)</f>
        <v>#DIV/0!</v>
      </c>
      <c r="AI240" s="332" t="e">
        <f>365/(AI65/AI188*4)</f>
        <v>#DIV/0!</v>
      </c>
      <c r="AJ240" s="332" t="e">
        <f>365/(AJ65/AJ188*4)</f>
        <v>#DIV/0!</v>
      </c>
      <c r="AK240" s="332" t="e">
        <f>365/(AK65/AK188)</f>
        <v>#DIV/0!</v>
      </c>
      <c r="AL240" s="332" t="e">
        <f>365/(AL65/AL188*4)</f>
        <v>#DIV/0!</v>
      </c>
      <c r="AM240" s="332" t="e">
        <f>365/(AM65/AM188*4)</f>
        <v>#DIV/0!</v>
      </c>
      <c r="AN240" s="332" t="e">
        <f>365/(AN65/AN188*4)</f>
        <v>#DIV/0!</v>
      </c>
      <c r="AO240" s="332" t="e">
        <f>365/(AO65/AO188*4)</f>
        <v>#DIV/0!</v>
      </c>
      <c r="AP240" s="332" t="e">
        <f>365/(AP65/AP188)</f>
        <v>#DIV/0!</v>
      </c>
      <c r="AQ240" s="332" t="e">
        <f>365/(AQ65/AQ188*4)</f>
        <v>#DIV/0!</v>
      </c>
      <c r="AR240" s="332" t="e">
        <f>365/(AR65/AR188*4)</f>
        <v>#DIV/0!</v>
      </c>
      <c r="AS240" s="332" t="e">
        <f>365/(AS65/AS188*4)</f>
        <v>#DIV/0!</v>
      </c>
      <c r="AT240" s="332" t="e">
        <f>365/(AT65/AT188*4)</f>
        <v>#DIV/0!</v>
      </c>
      <c r="AU240" s="332" t="e">
        <f>365/(AU65/AU188)</f>
        <v>#DIV/0!</v>
      </c>
      <c r="AV240" s="332" t="e">
        <f>365/(AV65/AV188*4)</f>
        <v>#DIV/0!</v>
      </c>
      <c r="AW240" s="332" t="e">
        <f>365/(AW65/AW188*4)</f>
        <v>#DIV/0!</v>
      </c>
      <c r="AX240" s="332" t="e">
        <f>365/(AX65/AX188*4)</f>
        <v>#DIV/0!</v>
      </c>
      <c r="AY240" s="332" t="e">
        <f>365/(AY65/AY188*4)</f>
        <v>#DIV/0!</v>
      </c>
      <c r="AZ240" s="332" t="e">
        <f>365/(AZ65/AZ188)</f>
        <v>#DIV/0!</v>
      </c>
      <c r="BA240" s="332" t="e">
        <f>365/(BA65/BA188*4)</f>
        <v>#DIV/0!</v>
      </c>
      <c r="BB240" s="332" t="e">
        <f>365/(BB65/BB188*4)</f>
        <v>#DIV/0!</v>
      </c>
      <c r="BC240" s="332" t="e">
        <f>365/(BC65/BC188*4)</f>
        <v>#DIV/0!</v>
      </c>
      <c r="BD240" s="332" t="e">
        <f>365/(BD65/BD188*4)</f>
        <v>#DIV/0!</v>
      </c>
      <c r="BE240" s="332" t="e">
        <f>365/(BE65/BE188)</f>
        <v>#DIV/0!</v>
      </c>
      <c r="BF240" s="332" t="e">
        <f>365/(BF65/BF188*4)</f>
        <v>#DIV/0!</v>
      </c>
      <c r="BG240" s="332" t="e">
        <f>365/(BG65/BG188*4)</f>
        <v>#DIV/0!</v>
      </c>
      <c r="BH240" s="332" t="e">
        <f>365/(BH65/BH188*4)</f>
        <v>#DIV/0!</v>
      </c>
      <c r="BI240" s="332" t="e">
        <f>365/(BI65/BI188*4)</f>
        <v>#DIV/0!</v>
      </c>
      <c r="BJ240" s="332" t="e">
        <f>365/(BJ65/BJ188)</f>
        <v>#DIV/0!</v>
      </c>
      <c r="BK240" s="332" t="e">
        <f>365/(BK65/BK188*4)</f>
        <v>#DIV/0!</v>
      </c>
      <c r="BL240" s="332" t="e">
        <f>365/(BL65/BL188*4)</f>
        <v>#DIV/0!</v>
      </c>
      <c r="BM240" s="332" t="e">
        <f>365/(BM65/BM188*4)</f>
        <v>#DIV/0!</v>
      </c>
      <c r="BN240" s="434" t="e">
        <f>365/(BN64/BN188*4)</f>
        <v>#DIV/0!</v>
      </c>
      <c r="BO240" s="434" t="e">
        <f>365/(BO65/BO188)</f>
        <v>#DIV/0!</v>
      </c>
      <c r="BP240" s="434" t="e">
        <f>365/(BP64/BP188*4)</f>
        <v>#DIV/0!</v>
      </c>
      <c r="BQ240" s="434" t="e">
        <f>365/(BQ64/BQ188*4)</f>
        <v>#DIV/0!</v>
      </c>
      <c r="BR240" s="434" t="e">
        <f>365/(BR64/BR188*4)</f>
        <v>#DIV/0!</v>
      </c>
      <c r="BS240" s="434" t="e">
        <f>365/(BS64/BS188*4)</f>
        <v>#DIV/0!</v>
      </c>
      <c r="BT240" s="434" t="e">
        <f>365/(BT65/BT188)</f>
        <v>#DIV/0!</v>
      </c>
    </row>
    <row r="241" spans="1:72" ht="13">
      <c r="A241" s="676">
        <f t="shared" si="323"/>
        <v>235</v>
      </c>
      <c r="B241" s="28"/>
      <c r="E241" s="28"/>
      <c r="F241" s="28"/>
      <c r="G241" s="28"/>
      <c r="K241" s="28"/>
      <c r="L241" s="28"/>
      <c r="P241" s="28"/>
      <c r="Q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359"/>
      <c r="BO241" s="359"/>
      <c r="BP241" s="359"/>
      <c r="BQ241" s="359"/>
      <c r="BR241" s="359"/>
      <c r="BS241" s="359"/>
      <c r="BT241" s="359"/>
    </row>
    <row r="242" spans="1:72" ht="13">
      <c r="A242" s="676">
        <f t="shared" si="323"/>
        <v>236</v>
      </c>
      <c r="B242" s="27" t="s">
        <v>308</v>
      </c>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64"/>
      <c r="BO242" s="364"/>
      <c r="BP242" s="364"/>
      <c r="BQ242" s="364"/>
      <c r="BR242" s="364"/>
      <c r="BS242" s="364"/>
      <c r="BT242" s="364"/>
    </row>
    <row r="243" spans="1:72" ht="13">
      <c r="A243" s="676">
        <f t="shared" si="323"/>
        <v>237</v>
      </c>
      <c r="B243" s="27" t="s">
        <v>306</v>
      </c>
      <c r="E243" s="32" t="e">
        <f>E199/E65</f>
        <v>#DIV/0!</v>
      </c>
      <c r="F243" s="32" t="e">
        <f>F199/F65</f>
        <v>#DIV/0!</v>
      </c>
      <c r="G243" s="32" t="e">
        <f>G199/G65</f>
        <v>#DIV/0!</v>
      </c>
      <c r="H243" s="32" t="e">
        <f>H199/H65/4</f>
        <v>#DIV/0!</v>
      </c>
      <c r="I243" s="32" t="e">
        <f>I199/I65/4</f>
        <v>#DIV/0!</v>
      </c>
      <c r="J243" s="32" t="e">
        <f>J199/J65/4</f>
        <v>#DIV/0!</v>
      </c>
      <c r="K243" s="32" t="e">
        <f>K199/K65/4</f>
        <v>#DIV/0!</v>
      </c>
      <c r="L243" s="32" t="e">
        <f>L199/L65</f>
        <v>#DIV/0!</v>
      </c>
      <c r="M243" s="32" t="e">
        <f>M199/M65/4</f>
        <v>#DIV/0!</v>
      </c>
      <c r="N243" s="32" t="e">
        <f>N199/N65/4</f>
        <v>#DIV/0!</v>
      </c>
      <c r="O243" s="32" t="e">
        <f>O199/O65/4</f>
        <v>#DIV/0!</v>
      </c>
      <c r="P243" s="32" t="e">
        <f>P199/P65/4</f>
        <v>#DIV/0!</v>
      </c>
      <c r="Q243" s="32" t="e">
        <f>Q199/Q65</f>
        <v>#DIV/0!</v>
      </c>
      <c r="R243" s="32" t="e">
        <f>R199/R65/4</f>
        <v>#DIV/0!</v>
      </c>
      <c r="S243" s="32" t="e">
        <f>S199/S65/4</f>
        <v>#DIV/0!</v>
      </c>
      <c r="T243" s="32" t="e">
        <f>T199/T65/4</f>
        <v>#DIV/0!</v>
      </c>
      <c r="U243" s="32" t="e">
        <f>U199/U65/4</f>
        <v>#DIV/0!</v>
      </c>
      <c r="V243" s="32" t="e">
        <f>V199/V65</f>
        <v>#DIV/0!</v>
      </c>
      <c r="W243" s="32" t="e">
        <f>W199/W65/4</f>
        <v>#DIV/0!</v>
      </c>
      <c r="X243" s="32" t="e">
        <f>X199/X65/4</f>
        <v>#DIV/0!</v>
      </c>
      <c r="Y243" s="32" t="e">
        <f>Y199/Y65/4</f>
        <v>#DIV/0!</v>
      </c>
      <c r="Z243" s="32" t="e">
        <f>Z199/Z65/4</f>
        <v>#DIV/0!</v>
      </c>
      <c r="AA243" s="32" t="e">
        <f>AA199/AA65</f>
        <v>#DIV/0!</v>
      </c>
      <c r="AB243" s="32" t="e">
        <f>AB199/AB65/4</f>
        <v>#DIV/0!</v>
      </c>
      <c r="AC243" s="32" t="e">
        <f>AC199/AC65/4</f>
        <v>#DIV/0!</v>
      </c>
      <c r="AD243" s="32" t="e">
        <f>AD199/AD65/4</f>
        <v>#DIV/0!</v>
      </c>
      <c r="AE243" s="32" t="e">
        <f>AE199/AE65/4</f>
        <v>#DIV/0!</v>
      </c>
      <c r="AF243" s="32" t="e">
        <f>AF199/AF65</f>
        <v>#DIV/0!</v>
      </c>
      <c r="AG243" s="32" t="e">
        <f>AG199/AG65/4</f>
        <v>#DIV/0!</v>
      </c>
      <c r="AH243" s="32" t="e">
        <f>AH199/AH65/4</f>
        <v>#DIV/0!</v>
      </c>
      <c r="AI243" s="32" t="e">
        <f>AI199/AI65/4</f>
        <v>#DIV/0!</v>
      </c>
      <c r="AJ243" s="32" t="e">
        <f>AJ199/AJ65/4</f>
        <v>#DIV/0!</v>
      </c>
      <c r="AK243" s="32" t="e">
        <f>AK199/AK65</f>
        <v>#DIV/0!</v>
      </c>
      <c r="AL243" s="32" t="e">
        <f>AL199/AL65/4</f>
        <v>#DIV/0!</v>
      </c>
      <c r="AM243" s="32" t="e">
        <f>AM199/AM65/4</f>
        <v>#DIV/0!</v>
      </c>
      <c r="AN243" s="32" t="e">
        <f>AN199/AN65/4</f>
        <v>#DIV/0!</v>
      </c>
      <c r="AO243" s="32" t="e">
        <f>AO199/AO65/4</f>
        <v>#DIV/0!</v>
      </c>
      <c r="AP243" s="32" t="e">
        <f>AP199/AP65</f>
        <v>#DIV/0!</v>
      </c>
      <c r="AQ243" s="32" t="e">
        <f>AQ199/AQ65/4</f>
        <v>#DIV/0!</v>
      </c>
      <c r="AR243" s="32" t="e">
        <f>AR199/AR65/4</f>
        <v>#DIV/0!</v>
      </c>
      <c r="AS243" s="32" t="e">
        <f>AS199/AS65/4</f>
        <v>#DIV/0!</v>
      </c>
      <c r="AT243" s="32" t="e">
        <f>AT199/AT65/4</f>
        <v>#DIV/0!</v>
      </c>
      <c r="AU243" s="32" t="e">
        <f>AU199/AU65</f>
        <v>#DIV/0!</v>
      </c>
      <c r="AV243" s="32" t="e">
        <f>AV199/AV65/4</f>
        <v>#DIV/0!</v>
      </c>
      <c r="AW243" s="32" t="e">
        <f>AW199/AW65/4</f>
        <v>#DIV/0!</v>
      </c>
      <c r="AX243" s="32" t="e">
        <f>AX199/AX65/4</f>
        <v>#DIV/0!</v>
      </c>
      <c r="AY243" s="32" t="e">
        <f>AY199/AY65/4</f>
        <v>#DIV/0!</v>
      </c>
      <c r="AZ243" s="32" t="e">
        <f>AZ199/AZ65</f>
        <v>#DIV/0!</v>
      </c>
      <c r="BA243" s="32" t="e">
        <f>BA199/BA65/4</f>
        <v>#DIV/0!</v>
      </c>
      <c r="BB243" s="32" t="e">
        <f>BB199/BB65/4</f>
        <v>#DIV/0!</v>
      </c>
      <c r="BC243" s="32" t="e">
        <f>BC199/BC65/4</f>
        <v>#DIV/0!</v>
      </c>
      <c r="BD243" s="32" t="e">
        <f>BD199/BD65/4</f>
        <v>#DIV/0!</v>
      </c>
      <c r="BE243" s="32" t="e">
        <f>BE199/BE65</f>
        <v>#DIV/0!</v>
      </c>
      <c r="BF243" s="32" t="e">
        <f>BF199/BF65/4</f>
        <v>#DIV/0!</v>
      </c>
      <c r="BG243" s="32" t="e">
        <f>BG199/BG65/4</f>
        <v>#DIV/0!</v>
      </c>
      <c r="BH243" s="32" t="e">
        <f>BH199/BH65/4</f>
        <v>#DIV/0!</v>
      </c>
      <c r="BI243" s="32" t="e">
        <f>BI199/BI65/4</f>
        <v>#DIV/0!</v>
      </c>
      <c r="BJ243" s="32" t="e">
        <f>BJ199/BJ65</f>
        <v>#DIV/0!</v>
      </c>
      <c r="BK243" s="32" t="e">
        <f>BK199/BK65/4</f>
        <v>#DIV/0!</v>
      </c>
      <c r="BL243" s="32" t="e">
        <f>BL199/BL65/4</f>
        <v>#DIV/0!</v>
      </c>
      <c r="BM243" s="32" t="e">
        <f>BM199/BM65/4</f>
        <v>#DIV/0!</v>
      </c>
      <c r="BN243" s="364" t="e">
        <f>BI243</f>
        <v>#DIV/0!</v>
      </c>
      <c r="BO243" s="364" t="e">
        <f>BO199/BO65</f>
        <v>#DIV/0!</v>
      </c>
      <c r="BP243" s="364" t="e">
        <f>BK243</f>
        <v>#DIV/0!</v>
      </c>
      <c r="BQ243" s="364" t="e">
        <f>BL243</f>
        <v>#DIV/0!</v>
      </c>
      <c r="BR243" s="364" t="e">
        <f>BM243</f>
        <v>#DIV/0!</v>
      </c>
      <c r="BS243" s="364" t="e">
        <f>BN243</f>
        <v>#DIV/0!</v>
      </c>
      <c r="BT243" s="364" t="e">
        <f>BT199/BT65</f>
        <v>#DIV/0!</v>
      </c>
    </row>
    <row r="244" spans="1:72" ht="13">
      <c r="A244" s="676">
        <f t="shared" si="323"/>
        <v>238</v>
      </c>
      <c r="B244" s="27" t="s">
        <v>309</v>
      </c>
      <c r="E244" s="332" t="e">
        <f>365/(E65/E199)</f>
        <v>#DIV/0!</v>
      </c>
      <c r="F244" s="332" t="e">
        <f>365/(F65/F199)</f>
        <v>#DIV/0!</v>
      </c>
      <c r="G244" s="332" t="e">
        <f>365/(G65/G199)</f>
        <v>#DIV/0!</v>
      </c>
      <c r="H244" s="332" t="e">
        <f>365/(H65/H199*4)</f>
        <v>#DIV/0!</v>
      </c>
      <c r="I244" s="332" t="e">
        <f>365/(I65/I199*4)</f>
        <v>#DIV/0!</v>
      </c>
      <c r="J244" s="332" t="e">
        <f>365/(J65/J199*4)</f>
        <v>#DIV/0!</v>
      </c>
      <c r="K244" s="332" t="e">
        <f>365/(K65/K199*4)</f>
        <v>#DIV/0!</v>
      </c>
      <c r="L244" s="332" t="e">
        <f>365/(L65/L199)</f>
        <v>#DIV/0!</v>
      </c>
      <c r="M244" s="332" t="e">
        <f>365/(M65/M199*4)</f>
        <v>#DIV/0!</v>
      </c>
      <c r="N244" s="332" t="e">
        <f>365/(N65/N199*4)</f>
        <v>#DIV/0!</v>
      </c>
      <c r="O244" s="332" t="e">
        <f>365/(O65/O199*4)</f>
        <v>#DIV/0!</v>
      </c>
      <c r="P244" s="332" t="e">
        <f>365/(P65/P199*4)</f>
        <v>#DIV/0!</v>
      </c>
      <c r="Q244" s="332" t="e">
        <f>365/(Q65/Q199)</f>
        <v>#DIV/0!</v>
      </c>
      <c r="R244" s="332" t="e">
        <f>365/(R65/R199*4)</f>
        <v>#DIV/0!</v>
      </c>
      <c r="S244" s="332" t="e">
        <f>365/(S65/S199*4)</f>
        <v>#DIV/0!</v>
      </c>
      <c r="T244" s="332" t="e">
        <f>365/(T65/T199*4)</f>
        <v>#DIV/0!</v>
      </c>
      <c r="U244" s="332" t="e">
        <f>365/(U65/U199*4)</f>
        <v>#DIV/0!</v>
      </c>
      <c r="V244" s="332" t="e">
        <f>365/(V65/V199)</f>
        <v>#DIV/0!</v>
      </c>
      <c r="W244" s="332" t="e">
        <f>365/(W65/W199*4)</f>
        <v>#DIV/0!</v>
      </c>
      <c r="X244" s="332" t="e">
        <f>365/(X65/X199*4)</f>
        <v>#DIV/0!</v>
      </c>
      <c r="Y244" s="332" t="e">
        <f>365/(Y65/Y199*4)</f>
        <v>#DIV/0!</v>
      </c>
      <c r="Z244" s="332" t="e">
        <f>365/(Z65/Z199*4)</f>
        <v>#DIV/0!</v>
      </c>
      <c r="AA244" s="332" t="e">
        <f>365/(AA65/AA199)</f>
        <v>#DIV/0!</v>
      </c>
      <c r="AB244" s="332" t="e">
        <f>365/(AB65/AB199*4)</f>
        <v>#DIV/0!</v>
      </c>
      <c r="AC244" s="332" t="e">
        <f>365/(AC65/AC199*4)</f>
        <v>#DIV/0!</v>
      </c>
      <c r="AD244" s="332" t="e">
        <f>365/(AD65/AD199*4)</f>
        <v>#DIV/0!</v>
      </c>
      <c r="AE244" s="332" t="e">
        <f>365/(AE65/AE199*4)</f>
        <v>#DIV/0!</v>
      </c>
      <c r="AF244" s="332" t="e">
        <f>365/(AF65/AF199)</f>
        <v>#DIV/0!</v>
      </c>
      <c r="AG244" s="332" t="e">
        <f>365/(AG65/AG199*4)</f>
        <v>#DIV/0!</v>
      </c>
      <c r="AH244" s="332" t="e">
        <f>365/(AH65/AH199*4)</f>
        <v>#DIV/0!</v>
      </c>
      <c r="AI244" s="332" t="e">
        <f>365/(AI65/AI199*4)</f>
        <v>#DIV/0!</v>
      </c>
      <c r="AJ244" s="332" t="e">
        <f>365/(AJ65/AJ199*4)</f>
        <v>#DIV/0!</v>
      </c>
      <c r="AK244" s="332" t="e">
        <f>365/(AK65/AK199)</f>
        <v>#DIV/0!</v>
      </c>
      <c r="AL244" s="332" t="e">
        <f>365/(AL65/AL199*4)</f>
        <v>#DIV/0!</v>
      </c>
      <c r="AM244" s="332" t="e">
        <f>365/(AM65/AM199*4)</f>
        <v>#DIV/0!</v>
      </c>
      <c r="AN244" s="332" t="e">
        <f>365/(AN65/AN199*4)</f>
        <v>#DIV/0!</v>
      </c>
      <c r="AO244" s="332" t="e">
        <f>365/(AO65/AO199*4)</f>
        <v>#DIV/0!</v>
      </c>
      <c r="AP244" s="332" t="e">
        <f>365/(AP65/AP199)</f>
        <v>#DIV/0!</v>
      </c>
      <c r="AQ244" s="332" t="e">
        <f>365/(AQ65/AQ199*4)</f>
        <v>#DIV/0!</v>
      </c>
      <c r="AR244" s="332" t="e">
        <f>365/(AR65/AR199*4)</f>
        <v>#DIV/0!</v>
      </c>
      <c r="AS244" s="332" t="e">
        <f>365/(AS65/AS199*4)</f>
        <v>#DIV/0!</v>
      </c>
      <c r="AT244" s="332" t="e">
        <f>365/(AT65/AT199*4)</f>
        <v>#DIV/0!</v>
      </c>
      <c r="AU244" s="332" t="e">
        <f>365/(AU65/AU199)</f>
        <v>#DIV/0!</v>
      </c>
      <c r="AV244" s="332" t="e">
        <f>365/(AV65/AV199*4)</f>
        <v>#DIV/0!</v>
      </c>
      <c r="AW244" s="332" t="e">
        <f>365/(AW65/AW199*4)</f>
        <v>#DIV/0!</v>
      </c>
      <c r="AX244" s="332" t="e">
        <f>365/(AX65/AX199*4)</f>
        <v>#DIV/0!</v>
      </c>
      <c r="AY244" s="332" t="e">
        <f>365/(AY65/AY199*4)</f>
        <v>#DIV/0!</v>
      </c>
      <c r="AZ244" s="332" t="e">
        <f>365/(AZ65/AZ199)</f>
        <v>#DIV/0!</v>
      </c>
      <c r="BA244" s="332" t="e">
        <f>365/(BA65/BA199*4)</f>
        <v>#DIV/0!</v>
      </c>
      <c r="BB244" s="332" t="e">
        <f>365/(BB65/BB199*4)</f>
        <v>#DIV/0!</v>
      </c>
      <c r="BC244" s="332" t="e">
        <f>365/(BC65/BC199*4)</f>
        <v>#DIV/0!</v>
      </c>
      <c r="BD244" s="332" t="e">
        <f>365/(BD65/BD199*4)</f>
        <v>#DIV/0!</v>
      </c>
      <c r="BE244" s="332" t="e">
        <f>365/(BE65/BE199)</f>
        <v>#DIV/0!</v>
      </c>
      <c r="BF244" s="332" t="e">
        <f>365/(BF65/BF199*4)</f>
        <v>#DIV/0!</v>
      </c>
      <c r="BG244" s="332" t="e">
        <f>365/(BG65/BG199*4)</f>
        <v>#DIV/0!</v>
      </c>
      <c r="BH244" s="332" t="e">
        <f>365/(BH65/BH199*4)</f>
        <v>#DIV/0!</v>
      </c>
      <c r="BI244" s="332" t="e">
        <f>365/(BI65/BI199*4)</f>
        <v>#DIV/0!</v>
      </c>
      <c r="BJ244" s="332" t="e">
        <f>365/(BJ65/BJ199)</f>
        <v>#DIV/0!</v>
      </c>
      <c r="BK244" s="332" t="e">
        <f>365/(BK65/BK199*4)</f>
        <v>#DIV/0!</v>
      </c>
      <c r="BL244" s="332" t="e">
        <f>365/(BL65/BL199*4)</f>
        <v>#DIV/0!</v>
      </c>
      <c r="BM244" s="332" t="e">
        <f>365/(BM65/BM199*4)</f>
        <v>#DIV/0!</v>
      </c>
      <c r="BN244" s="434" t="e">
        <f>365/(BN64/BN199*4)</f>
        <v>#DIV/0!</v>
      </c>
      <c r="BO244" s="434" t="e">
        <f>365/(BO65/BO199)</f>
        <v>#DIV/0!</v>
      </c>
      <c r="BP244" s="434" t="e">
        <f>365/(BP64/BP199*4)</f>
        <v>#DIV/0!</v>
      </c>
      <c r="BQ244" s="434" t="e">
        <f>365/(BQ64/BQ199*4)</f>
        <v>#DIV/0!</v>
      </c>
      <c r="BR244" s="434" t="e">
        <f>365/(BR64/BR199*4)</f>
        <v>#DIV/0!</v>
      </c>
      <c r="BS244" s="434" t="e">
        <f>365/(BS64/BS199*4)</f>
        <v>#DIV/0!</v>
      </c>
      <c r="BT244" s="434" t="e">
        <f>365/(BT65/BT199)</f>
        <v>#DIV/0!</v>
      </c>
    </row>
    <row r="245" spans="1:72" ht="13">
      <c r="A245" s="676">
        <f t="shared" si="323"/>
        <v>239</v>
      </c>
      <c r="B245" s="27"/>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64"/>
      <c r="BO245" s="364"/>
      <c r="BP245" s="364"/>
      <c r="BQ245" s="364"/>
      <c r="BR245" s="364"/>
      <c r="BS245" s="364"/>
      <c r="BT245" s="364"/>
    </row>
    <row r="246" spans="1:72" ht="13">
      <c r="A246" s="676">
        <f t="shared" si="323"/>
        <v>240</v>
      </c>
      <c r="B246" s="27" t="s">
        <v>310</v>
      </c>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64"/>
      <c r="BO246" s="364"/>
      <c r="BP246" s="364"/>
      <c r="BQ246" s="364"/>
      <c r="BR246" s="364"/>
      <c r="BS246" s="364"/>
      <c r="BT246" s="364"/>
    </row>
    <row r="247" spans="1:72" ht="13">
      <c r="A247" s="676">
        <f t="shared" si="323"/>
        <v>241</v>
      </c>
      <c r="B247" s="27" t="s">
        <v>306</v>
      </c>
      <c r="E247" s="32" t="e">
        <f>E200/E65</f>
        <v>#DIV/0!</v>
      </c>
      <c r="F247" s="32" t="e">
        <f>F200/F65</f>
        <v>#DIV/0!</v>
      </c>
      <c r="G247" s="32" t="e">
        <f>G200/G65</f>
        <v>#DIV/0!</v>
      </c>
      <c r="H247" s="32" t="e">
        <f>H200/H65/4</f>
        <v>#DIV/0!</v>
      </c>
      <c r="I247" s="32" t="e">
        <f>I200/I65/4</f>
        <v>#DIV/0!</v>
      </c>
      <c r="J247" s="32" t="e">
        <f>J200/J65/4</f>
        <v>#DIV/0!</v>
      </c>
      <c r="K247" s="32" t="e">
        <f>K200/K65/4</f>
        <v>#DIV/0!</v>
      </c>
      <c r="L247" s="32" t="e">
        <f>L200/L65</f>
        <v>#DIV/0!</v>
      </c>
      <c r="M247" s="32" t="e">
        <f>M200/M65/4</f>
        <v>#DIV/0!</v>
      </c>
      <c r="N247" s="32" t="e">
        <f>N200/N65/4</f>
        <v>#DIV/0!</v>
      </c>
      <c r="O247" s="32" t="e">
        <f>O200/O65/4</f>
        <v>#DIV/0!</v>
      </c>
      <c r="P247" s="32" t="e">
        <f>P200/P65/4</f>
        <v>#DIV/0!</v>
      </c>
      <c r="Q247" s="32" t="e">
        <f>Q200/Q65</f>
        <v>#DIV/0!</v>
      </c>
      <c r="R247" s="32" t="e">
        <f>R200/R65/4</f>
        <v>#DIV/0!</v>
      </c>
      <c r="S247" s="32" t="e">
        <f>S200/S65/4</f>
        <v>#DIV/0!</v>
      </c>
      <c r="T247" s="32" t="e">
        <f>T200/T65/4</f>
        <v>#DIV/0!</v>
      </c>
      <c r="U247" s="32" t="e">
        <f>U200/U65/4</f>
        <v>#DIV/0!</v>
      </c>
      <c r="V247" s="32" t="e">
        <f>V200/V65</f>
        <v>#DIV/0!</v>
      </c>
      <c r="W247" s="32" t="e">
        <f>W200/W65/4</f>
        <v>#DIV/0!</v>
      </c>
      <c r="X247" s="32" t="e">
        <f>X200/X65/4</f>
        <v>#DIV/0!</v>
      </c>
      <c r="Y247" s="32" t="e">
        <f>Y200/Y65/4</f>
        <v>#DIV/0!</v>
      </c>
      <c r="Z247" s="32" t="e">
        <f>Z200/Z65/4</f>
        <v>#DIV/0!</v>
      </c>
      <c r="AA247" s="32" t="e">
        <f>AA200/AA65</f>
        <v>#DIV/0!</v>
      </c>
      <c r="AB247" s="32" t="e">
        <f>AB200/AB65/4</f>
        <v>#DIV/0!</v>
      </c>
      <c r="AC247" s="32" t="e">
        <f>AC200/AC65/4</f>
        <v>#DIV/0!</v>
      </c>
      <c r="AD247" s="32" t="e">
        <f>AD200/AD65/4</f>
        <v>#DIV/0!</v>
      </c>
      <c r="AE247" s="32" t="e">
        <f>AE200/AE65/4</f>
        <v>#DIV/0!</v>
      </c>
      <c r="AF247" s="32" t="e">
        <f>AF200/AF65</f>
        <v>#DIV/0!</v>
      </c>
      <c r="AG247" s="32" t="e">
        <f>AG200/AG65/4</f>
        <v>#DIV/0!</v>
      </c>
      <c r="AH247" s="32" t="e">
        <f>AH200/AH65/4</f>
        <v>#DIV/0!</v>
      </c>
      <c r="AI247" s="32" t="e">
        <f>AI200/AI65/4</f>
        <v>#DIV/0!</v>
      </c>
      <c r="AJ247" s="32" t="e">
        <f>AJ200/AJ65/4</f>
        <v>#DIV/0!</v>
      </c>
      <c r="AK247" s="32" t="e">
        <f>AK200/AK65</f>
        <v>#DIV/0!</v>
      </c>
      <c r="AL247" s="32" t="e">
        <f>AL200/AL65/4</f>
        <v>#DIV/0!</v>
      </c>
      <c r="AM247" s="32" t="e">
        <f>AM200/AM65/4</f>
        <v>#DIV/0!</v>
      </c>
      <c r="AN247" s="32" t="e">
        <f>AN200/AN65/4</f>
        <v>#DIV/0!</v>
      </c>
      <c r="AO247" s="32" t="e">
        <f>AO200/AO65/4</f>
        <v>#DIV/0!</v>
      </c>
      <c r="AP247" s="32" t="e">
        <f>AP200/AP65</f>
        <v>#DIV/0!</v>
      </c>
      <c r="AQ247" s="32" t="e">
        <f>AQ200/AQ65/4</f>
        <v>#DIV/0!</v>
      </c>
      <c r="AR247" s="32" t="e">
        <f>AR200/AR65/4</f>
        <v>#DIV/0!</v>
      </c>
      <c r="AS247" s="32" t="e">
        <f>AS200/AS65/4</f>
        <v>#DIV/0!</v>
      </c>
      <c r="AT247" s="32" t="e">
        <f>AT200/AT65/4</f>
        <v>#DIV/0!</v>
      </c>
      <c r="AU247" s="32" t="e">
        <f>AU200/AU65</f>
        <v>#DIV/0!</v>
      </c>
      <c r="AV247" s="32" t="e">
        <f>AV200/AV65/4</f>
        <v>#DIV/0!</v>
      </c>
      <c r="AW247" s="32" t="e">
        <f>AW200/AW65/4</f>
        <v>#DIV/0!</v>
      </c>
      <c r="AX247" s="32" t="e">
        <f>AX200/AX65/4</f>
        <v>#DIV/0!</v>
      </c>
      <c r="AY247" s="32" t="e">
        <f>AY200/AY65/4</f>
        <v>#DIV/0!</v>
      </c>
      <c r="AZ247" s="32" t="e">
        <f>AZ200/AZ65</f>
        <v>#DIV/0!</v>
      </c>
      <c r="BA247" s="32" t="e">
        <f>BA200/BA65/4</f>
        <v>#DIV/0!</v>
      </c>
      <c r="BB247" s="32" t="e">
        <f>BB200/BB65/4</f>
        <v>#DIV/0!</v>
      </c>
      <c r="BC247" s="32" t="e">
        <f>BC200/BC65/4</f>
        <v>#DIV/0!</v>
      </c>
      <c r="BD247" s="32" t="e">
        <f>BD200/BD65/4</f>
        <v>#DIV/0!</v>
      </c>
      <c r="BE247" s="32" t="e">
        <f>BE200/BE65</f>
        <v>#DIV/0!</v>
      </c>
      <c r="BF247" s="32" t="e">
        <f>BF200/BF65/4</f>
        <v>#DIV/0!</v>
      </c>
      <c r="BG247" s="32" t="e">
        <f>BG200/BG65/4</f>
        <v>#DIV/0!</v>
      </c>
      <c r="BH247" s="32" t="e">
        <f>BH200/BH65/4</f>
        <v>#DIV/0!</v>
      </c>
      <c r="BI247" s="32" t="e">
        <f>BI200/BI65/4</f>
        <v>#DIV/0!</v>
      </c>
      <c r="BJ247" s="32" t="e">
        <f>BJ200/BJ65</f>
        <v>#DIV/0!</v>
      </c>
      <c r="BK247" s="32" t="e">
        <f>BK200/BK65/4</f>
        <v>#DIV/0!</v>
      </c>
      <c r="BL247" s="32" t="e">
        <f>BL200/BL65/4</f>
        <v>#DIV/0!</v>
      </c>
      <c r="BM247" s="32" t="e">
        <f>BM200/BM65/4</f>
        <v>#DIV/0!</v>
      </c>
      <c r="BN247" s="364" t="e">
        <f>BI247</f>
        <v>#DIV/0!</v>
      </c>
      <c r="BO247" s="364" t="e">
        <f>BO200/BO65</f>
        <v>#DIV/0!</v>
      </c>
      <c r="BP247" s="364" t="e">
        <f>BK247</f>
        <v>#DIV/0!</v>
      </c>
      <c r="BQ247" s="364" t="e">
        <f>BL247</f>
        <v>#DIV/0!</v>
      </c>
      <c r="BR247" s="364" t="e">
        <f>BM247</f>
        <v>#DIV/0!</v>
      </c>
      <c r="BS247" s="364" t="e">
        <f>BN247</f>
        <v>#DIV/0!</v>
      </c>
      <c r="BT247" s="364" t="e">
        <f>BT200/BT65</f>
        <v>#DIV/0!</v>
      </c>
    </row>
    <row r="248" spans="1:72" ht="13">
      <c r="A248" s="676">
        <f t="shared" si="323"/>
        <v>242</v>
      </c>
      <c r="B248" s="27" t="s">
        <v>309</v>
      </c>
      <c r="E248" s="332" t="e">
        <f>365/(E65/E200)</f>
        <v>#DIV/0!</v>
      </c>
      <c r="F248" s="332" t="e">
        <f>365/(F65/F200)</f>
        <v>#DIV/0!</v>
      </c>
      <c r="G248" s="332" t="e">
        <f>365/(G65/G200)</f>
        <v>#DIV/0!</v>
      </c>
      <c r="H248" s="332" t="e">
        <f>365/(H65/H200*4)</f>
        <v>#DIV/0!</v>
      </c>
      <c r="I248" s="332" t="e">
        <f>365/(I65/I200*4)</f>
        <v>#DIV/0!</v>
      </c>
      <c r="J248" s="332" t="e">
        <f>365/(J65/J200*4)</f>
        <v>#DIV/0!</v>
      </c>
      <c r="K248" s="332" t="e">
        <f>365/(K65/K200*4)</f>
        <v>#DIV/0!</v>
      </c>
      <c r="L248" s="332" t="e">
        <f>365/(L65/L200)</f>
        <v>#DIV/0!</v>
      </c>
      <c r="M248" s="332" t="e">
        <f>365/(M65/M200*4)</f>
        <v>#DIV/0!</v>
      </c>
      <c r="N248" s="332" t="e">
        <f>365/(N65/N200*4)</f>
        <v>#DIV/0!</v>
      </c>
      <c r="O248" s="332" t="e">
        <f>365/(O65/O200*4)</f>
        <v>#DIV/0!</v>
      </c>
      <c r="P248" s="332" t="e">
        <f>365/(P65/P200*4)</f>
        <v>#DIV/0!</v>
      </c>
      <c r="Q248" s="332" t="e">
        <f>365/(Q65/Q200)</f>
        <v>#DIV/0!</v>
      </c>
      <c r="R248" s="332" t="e">
        <f>365/(R65/R200*4)</f>
        <v>#DIV/0!</v>
      </c>
      <c r="S248" s="332" t="e">
        <f>365/(S65/S200*4)</f>
        <v>#DIV/0!</v>
      </c>
      <c r="T248" s="332" t="e">
        <f>365/(T65/T200*4)</f>
        <v>#DIV/0!</v>
      </c>
      <c r="U248" s="332" t="e">
        <f>365/(U65/U200*4)</f>
        <v>#DIV/0!</v>
      </c>
      <c r="V248" s="332" t="e">
        <f>365/(V65/V200)</f>
        <v>#DIV/0!</v>
      </c>
      <c r="W248" s="332" t="e">
        <f>365/(W65/W200*4)</f>
        <v>#DIV/0!</v>
      </c>
      <c r="X248" s="332" t="e">
        <f>365/(X65/X200*4)</f>
        <v>#DIV/0!</v>
      </c>
      <c r="Y248" s="332" t="e">
        <f>365/(Y65/Y200*4)</f>
        <v>#DIV/0!</v>
      </c>
      <c r="Z248" s="332" t="e">
        <f>365/(Z65/Z200*4)</f>
        <v>#DIV/0!</v>
      </c>
      <c r="AA248" s="332" t="e">
        <f>365/(AA65/AA200)</f>
        <v>#DIV/0!</v>
      </c>
      <c r="AB248" s="332" t="e">
        <f>365/(AB65/AB200*4)</f>
        <v>#DIV/0!</v>
      </c>
      <c r="AC248" s="332" t="e">
        <f>365/(AC65/AC200*4)</f>
        <v>#DIV/0!</v>
      </c>
      <c r="AD248" s="332" t="e">
        <f>365/(AD65/AD200*4)</f>
        <v>#DIV/0!</v>
      </c>
      <c r="AE248" s="332" t="e">
        <f>365/(AE65/AE200*4)</f>
        <v>#DIV/0!</v>
      </c>
      <c r="AF248" s="332" t="e">
        <f>365/(AF65/AF200)</f>
        <v>#DIV/0!</v>
      </c>
      <c r="AG248" s="332" t="e">
        <f>365/(AG65/AG200*4)</f>
        <v>#DIV/0!</v>
      </c>
      <c r="AH248" s="332" t="e">
        <f>365/(AH65/AH200*4)</f>
        <v>#DIV/0!</v>
      </c>
      <c r="AI248" s="332" t="e">
        <f>365/(AI65/AI200*4)</f>
        <v>#DIV/0!</v>
      </c>
      <c r="AJ248" s="332" t="e">
        <f>365/(AJ65/AJ200*4)</f>
        <v>#DIV/0!</v>
      </c>
      <c r="AK248" s="332" t="e">
        <f>365/(AK65/AK200)</f>
        <v>#DIV/0!</v>
      </c>
      <c r="AL248" s="332" t="e">
        <f>365/(AL65/AL200*4)</f>
        <v>#DIV/0!</v>
      </c>
      <c r="AM248" s="332" t="e">
        <f>365/(AM65/AM200*4)</f>
        <v>#DIV/0!</v>
      </c>
      <c r="AN248" s="332" t="e">
        <f>365/(AN65/AN200*4)</f>
        <v>#DIV/0!</v>
      </c>
      <c r="AO248" s="332" t="e">
        <f>365/(AO65/AO200*4)</f>
        <v>#DIV/0!</v>
      </c>
      <c r="AP248" s="332" t="e">
        <f>365/(AP65/AP200)</f>
        <v>#DIV/0!</v>
      </c>
      <c r="AQ248" s="332" t="e">
        <f>365/(AQ65/AQ200*4)</f>
        <v>#DIV/0!</v>
      </c>
      <c r="AR248" s="332" t="e">
        <f>365/(AR65/AR200*4)</f>
        <v>#DIV/0!</v>
      </c>
      <c r="AS248" s="332" t="e">
        <f>365/(AS65/AS200*4)</f>
        <v>#DIV/0!</v>
      </c>
      <c r="AT248" s="332" t="e">
        <f>365/(AT65/AT200*4)</f>
        <v>#DIV/0!</v>
      </c>
      <c r="AU248" s="332" t="e">
        <f>365/(AU65/AU200)</f>
        <v>#DIV/0!</v>
      </c>
      <c r="AV248" s="332" t="e">
        <f>365/(AV65/AV200*4)</f>
        <v>#DIV/0!</v>
      </c>
      <c r="AW248" s="332" t="e">
        <f>365/(AW65/AW200*4)</f>
        <v>#DIV/0!</v>
      </c>
      <c r="AX248" s="332" t="e">
        <f>365/(AX65/AX200*4)</f>
        <v>#DIV/0!</v>
      </c>
      <c r="AY248" s="332" t="e">
        <f>365/(AY65/AY200*4)</f>
        <v>#DIV/0!</v>
      </c>
      <c r="AZ248" s="332" t="e">
        <f>365/(AZ65/AZ200)</f>
        <v>#DIV/0!</v>
      </c>
      <c r="BA248" s="332" t="e">
        <f>365/(BA65/BA200*4)</f>
        <v>#DIV/0!</v>
      </c>
      <c r="BB248" s="332" t="e">
        <f>365/(BB65/BB200*4)</f>
        <v>#DIV/0!</v>
      </c>
      <c r="BC248" s="332" t="e">
        <f>365/(BC65/BC200*4)</f>
        <v>#DIV/0!</v>
      </c>
      <c r="BD248" s="332" t="e">
        <f>365/(BD65/BD200*4)</f>
        <v>#DIV/0!</v>
      </c>
      <c r="BE248" s="332" t="e">
        <f>365/(BE65/BE200)</f>
        <v>#DIV/0!</v>
      </c>
      <c r="BF248" s="332" t="e">
        <f>365/(BF65/BF200*4)</f>
        <v>#DIV/0!</v>
      </c>
      <c r="BG248" s="332" t="e">
        <f>365/(BG65/BG200*4)</f>
        <v>#DIV/0!</v>
      </c>
      <c r="BH248" s="332" t="e">
        <f>365/(BH65/BH200*4)</f>
        <v>#DIV/0!</v>
      </c>
      <c r="BI248" s="332" t="e">
        <f>365/(BI65/BI200*4)</f>
        <v>#DIV/0!</v>
      </c>
      <c r="BJ248" s="332" t="e">
        <f>365/(BJ65/BJ200)</f>
        <v>#DIV/0!</v>
      </c>
      <c r="BK248" s="332" t="e">
        <f>365/(BK65/BK200*4)</f>
        <v>#DIV/0!</v>
      </c>
      <c r="BL248" s="332" t="e">
        <f>365/(BL65/BL200*4)</f>
        <v>#DIV/0!</v>
      </c>
      <c r="BM248" s="332" t="e">
        <f>365/(BM65/BM200*4)</f>
        <v>#DIV/0!</v>
      </c>
      <c r="BN248" s="434" t="e">
        <f>365/(BN64/BN200*4)</f>
        <v>#DIV/0!</v>
      </c>
      <c r="BO248" s="434" t="e">
        <f>365/(BO65/BO200)</f>
        <v>#DIV/0!</v>
      </c>
      <c r="BP248" s="434" t="e">
        <f>365/(BP64/BP200*4)</f>
        <v>#DIV/0!</v>
      </c>
      <c r="BQ248" s="434" t="e">
        <f>365/(BQ64/BQ200*4)</f>
        <v>#DIV/0!</v>
      </c>
      <c r="BR248" s="434" t="e">
        <f>365/(BR64/BR200*4)</f>
        <v>#DIV/0!</v>
      </c>
      <c r="BS248" s="434" t="e">
        <f>365/(BS64/BS200*4)</f>
        <v>#DIV/0!</v>
      </c>
      <c r="BT248" s="434" t="e">
        <f>365/(BT65/BT200)</f>
        <v>#DIV/0!</v>
      </c>
    </row>
    <row r="249" spans="1:72" ht="13">
      <c r="A249" s="676">
        <f t="shared" si="323"/>
        <v>243</v>
      </c>
      <c r="B249" s="27"/>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64"/>
      <c r="BO249" s="364"/>
      <c r="BP249" s="364"/>
      <c r="BQ249" s="364"/>
      <c r="BR249" s="364"/>
      <c r="BS249" s="364"/>
      <c r="BT249" s="364"/>
    </row>
    <row r="250" spans="1:72" ht="13">
      <c r="A250" s="676">
        <f t="shared" si="323"/>
        <v>244</v>
      </c>
      <c r="B250" s="27" t="s">
        <v>285</v>
      </c>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64"/>
      <c r="BO250" s="364"/>
      <c r="BP250" s="364"/>
      <c r="BQ250" s="364"/>
      <c r="BR250" s="364"/>
      <c r="BS250" s="364"/>
      <c r="BT250" s="364"/>
    </row>
    <row r="251" spans="1:72" ht="13">
      <c r="A251" s="676">
        <f t="shared" si="323"/>
        <v>245</v>
      </c>
      <c r="B251" s="27" t="s">
        <v>306</v>
      </c>
      <c r="E251" s="32" t="e">
        <f>E201/E65</f>
        <v>#DIV/0!</v>
      </c>
      <c r="F251" s="32" t="e">
        <f>F201/F65</f>
        <v>#DIV/0!</v>
      </c>
      <c r="G251" s="32" t="e">
        <f>G201/G65</f>
        <v>#DIV/0!</v>
      </c>
      <c r="H251" s="32" t="e">
        <f>H201/H65/4</f>
        <v>#DIV/0!</v>
      </c>
      <c r="I251" s="32" t="e">
        <f>I201/I65/4</f>
        <v>#DIV/0!</v>
      </c>
      <c r="J251" s="32" t="e">
        <f>J201/J65/4</f>
        <v>#DIV/0!</v>
      </c>
      <c r="K251" s="32" t="e">
        <f>K201/K65/4</f>
        <v>#DIV/0!</v>
      </c>
      <c r="L251" s="32" t="e">
        <f>L201/L65</f>
        <v>#DIV/0!</v>
      </c>
      <c r="M251" s="32" t="e">
        <f>M201/M65/4</f>
        <v>#DIV/0!</v>
      </c>
      <c r="N251" s="32" t="e">
        <f>N201/N65/4</f>
        <v>#DIV/0!</v>
      </c>
      <c r="O251" s="32" t="e">
        <f>O201/O65/4</f>
        <v>#DIV/0!</v>
      </c>
      <c r="P251" s="32" t="e">
        <f>P201/P65/4</f>
        <v>#DIV/0!</v>
      </c>
      <c r="Q251" s="32" t="e">
        <f>Q201/Q65</f>
        <v>#DIV/0!</v>
      </c>
      <c r="R251" s="32" t="e">
        <f>R201/R65/4</f>
        <v>#DIV/0!</v>
      </c>
      <c r="S251" s="32" t="e">
        <f>S201/S65/4</f>
        <v>#DIV/0!</v>
      </c>
      <c r="T251" s="32" t="e">
        <f>T201/T65/4</f>
        <v>#DIV/0!</v>
      </c>
      <c r="U251" s="32" t="e">
        <f>U201/U65/4</f>
        <v>#DIV/0!</v>
      </c>
      <c r="V251" s="32" t="e">
        <f>V201/V65</f>
        <v>#DIV/0!</v>
      </c>
      <c r="W251" s="32" t="e">
        <f>W201/W65/4</f>
        <v>#DIV/0!</v>
      </c>
      <c r="X251" s="32" t="e">
        <f>X201/X65/4</f>
        <v>#DIV/0!</v>
      </c>
      <c r="Y251" s="32" t="e">
        <f>Y201/Y65/4</f>
        <v>#DIV/0!</v>
      </c>
      <c r="Z251" s="32" t="e">
        <f>Z201/Z65/4</f>
        <v>#DIV/0!</v>
      </c>
      <c r="AA251" s="32" t="e">
        <f>AA201/AA65</f>
        <v>#DIV/0!</v>
      </c>
      <c r="AB251" s="32" t="e">
        <f>AB201/AB65/4</f>
        <v>#DIV/0!</v>
      </c>
      <c r="AC251" s="32" t="e">
        <f>AC201/AC65/4</f>
        <v>#DIV/0!</v>
      </c>
      <c r="AD251" s="32" t="e">
        <f>AD201/AD65/4</f>
        <v>#DIV/0!</v>
      </c>
      <c r="AE251" s="32" t="e">
        <f>AE201/AE65/4</f>
        <v>#DIV/0!</v>
      </c>
      <c r="AF251" s="32" t="e">
        <f>AF201/AF65</f>
        <v>#DIV/0!</v>
      </c>
      <c r="AG251" s="32" t="e">
        <f>AG201/AG65/4</f>
        <v>#DIV/0!</v>
      </c>
      <c r="AH251" s="32" t="e">
        <f>AH201/AH65/4</f>
        <v>#DIV/0!</v>
      </c>
      <c r="AI251" s="32" t="e">
        <f>AI201/AI65/4</f>
        <v>#DIV/0!</v>
      </c>
      <c r="AJ251" s="32" t="e">
        <f>AJ201/AJ65/4</f>
        <v>#DIV/0!</v>
      </c>
      <c r="AK251" s="32" t="e">
        <f>AK201/AK65</f>
        <v>#DIV/0!</v>
      </c>
      <c r="AL251" s="32" t="e">
        <f>AL201/AL65/4</f>
        <v>#DIV/0!</v>
      </c>
      <c r="AM251" s="32" t="e">
        <f>AM201/AM65/4</f>
        <v>#DIV/0!</v>
      </c>
      <c r="AN251" s="32" t="e">
        <f>AN201/AN65/4</f>
        <v>#DIV/0!</v>
      </c>
      <c r="AO251" s="32" t="e">
        <f>AO201/AO65/4</f>
        <v>#DIV/0!</v>
      </c>
      <c r="AP251" s="32" t="e">
        <f>AP201/AP65</f>
        <v>#DIV/0!</v>
      </c>
      <c r="AQ251" s="32" t="e">
        <f>AQ201/AQ65/4</f>
        <v>#DIV/0!</v>
      </c>
      <c r="AR251" s="32" t="e">
        <f>AR201/AR65/4</f>
        <v>#DIV/0!</v>
      </c>
      <c r="AS251" s="32" t="e">
        <f>AS201/AS65/4</f>
        <v>#DIV/0!</v>
      </c>
      <c r="AT251" s="32" t="e">
        <f>AT201/AT65/4</f>
        <v>#DIV/0!</v>
      </c>
      <c r="AU251" s="32" t="e">
        <f>AU201/AU65</f>
        <v>#DIV/0!</v>
      </c>
      <c r="AV251" s="32" t="e">
        <f>AV201/AV65/4</f>
        <v>#DIV/0!</v>
      </c>
      <c r="AW251" s="32" t="e">
        <f>AW201/AW65/4</f>
        <v>#DIV/0!</v>
      </c>
      <c r="AX251" s="32" t="e">
        <f>AX201/AX65/4</f>
        <v>#DIV/0!</v>
      </c>
      <c r="AY251" s="32" t="e">
        <f>AY201/AY65/4</f>
        <v>#DIV/0!</v>
      </c>
      <c r="AZ251" s="32" t="e">
        <f>AZ201/AZ65</f>
        <v>#DIV/0!</v>
      </c>
      <c r="BA251" s="32" t="e">
        <f>BA201/BA65/4</f>
        <v>#DIV/0!</v>
      </c>
      <c r="BB251" s="32" t="e">
        <f>BB201/BB65/4</f>
        <v>#DIV/0!</v>
      </c>
      <c r="BC251" s="32" t="e">
        <f>BC201/BC65/4</f>
        <v>#DIV/0!</v>
      </c>
      <c r="BD251" s="32" t="e">
        <f>BD201/BD65/4</f>
        <v>#DIV/0!</v>
      </c>
      <c r="BE251" s="32" t="e">
        <f>BE201/BE65</f>
        <v>#DIV/0!</v>
      </c>
      <c r="BF251" s="32" t="e">
        <f>BF201/BF65/4</f>
        <v>#DIV/0!</v>
      </c>
      <c r="BG251" s="32" t="e">
        <f>BG201/BG65/4</f>
        <v>#DIV/0!</v>
      </c>
      <c r="BH251" s="32" t="e">
        <f>BH201/BH65/4</f>
        <v>#DIV/0!</v>
      </c>
      <c r="BI251" s="32" t="e">
        <f>BI201/BI65/4</f>
        <v>#DIV/0!</v>
      </c>
      <c r="BJ251" s="32" t="e">
        <f>BJ201/BJ65</f>
        <v>#DIV/0!</v>
      </c>
      <c r="BK251" s="32" t="e">
        <f>BK201/BK65/4</f>
        <v>#DIV/0!</v>
      </c>
      <c r="BL251" s="32" t="e">
        <f>BL201/BL65/4</f>
        <v>#DIV/0!</v>
      </c>
      <c r="BM251" s="32" t="e">
        <f>BM201/BM65/4</f>
        <v>#DIV/0!</v>
      </c>
      <c r="BN251" s="364" t="e">
        <f>BI251</f>
        <v>#DIV/0!</v>
      </c>
      <c r="BO251" s="364" t="e">
        <f>BO201/BO65</f>
        <v>#DIV/0!</v>
      </c>
      <c r="BP251" s="364" t="e">
        <f>BK251</f>
        <v>#DIV/0!</v>
      </c>
      <c r="BQ251" s="364" t="e">
        <f>BL251</f>
        <v>#DIV/0!</v>
      </c>
      <c r="BR251" s="364" t="e">
        <f>BM251</f>
        <v>#DIV/0!</v>
      </c>
      <c r="BS251" s="364" t="e">
        <f>BN251</f>
        <v>#DIV/0!</v>
      </c>
      <c r="BT251" s="364" t="e">
        <f>BT201/BT65</f>
        <v>#DIV/0!</v>
      </c>
    </row>
    <row r="252" spans="1:72" ht="13">
      <c r="A252" s="676">
        <f t="shared" si="323"/>
        <v>246</v>
      </c>
      <c r="B252" s="333" t="s">
        <v>311</v>
      </c>
      <c r="C252" s="334"/>
      <c r="D252" s="334"/>
      <c r="E252" s="332" t="e">
        <f>365/(E65/E201)</f>
        <v>#DIV/0!</v>
      </c>
      <c r="F252" s="332" t="e">
        <f>365/(F65/F201)</f>
        <v>#DIV/0!</v>
      </c>
      <c r="G252" s="332" t="e">
        <f>365/(G65/G201)</f>
        <v>#DIV/0!</v>
      </c>
      <c r="H252" s="332" t="e">
        <f>365/(H65/H201*4)</f>
        <v>#DIV/0!</v>
      </c>
      <c r="I252" s="332" t="e">
        <f>365/(I65/I201*4)</f>
        <v>#DIV/0!</v>
      </c>
      <c r="J252" s="332" t="e">
        <f>365/(J65/J201*4)</f>
        <v>#DIV/0!</v>
      </c>
      <c r="K252" s="332" t="e">
        <f>365/(K65/K201*4)</f>
        <v>#DIV/0!</v>
      </c>
      <c r="L252" s="332" t="e">
        <f>365/(L65/L201)</f>
        <v>#DIV/0!</v>
      </c>
      <c r="M252" s="332" t="e">
        <f>365/(M65/M201*4)</f>
        <v>#DIV/0!</v>
      </c>
      <c r="N252" s="332" t="e">
        <f>365/(N65/N201*4)</f>
        <v>#DIV/0!</v>
      </c>
      <c r="O252" s="332" t="e">
        <f>365/(O65/O201*4)</f>
        <v>#DIV/0!</v>
      </c>
      <c r="P252" s="332" t="e">
        <f>365/(P65/P201*4)</f>
        <v>#DIV/0!</v>
      </c>
      <c r="Q252" s="332" t="e">
        <f>365/(Q65/Q201)</f>
        <v>#DIV/0!</v>
      </c>
      <c r="R252" s="332" t="e">
        <f>365/(R65/R201*4)</f>
        <v>#DIV/0!</v>
      </c>
      <c r="S252" s="332" t="e">
        <f>365/(S65/S201*4)</f>
        <v>#DIV/0!</v>
      </c>
      <c r="T252" s="332" t="e">
        <f>365/(T65/T201*4)</f>
        <v>#DIV/0!</v>
      </c>
      <c r="U252" s="332" t="e">
        <f>365/(U65/U201*4)</f>
        <v>#DIV/0!</v>
      </c>
      <c r="V252" s="332" t="e">
        <f>365/(V65/V201)</f>
        <v>#DIV/0!</v>
      </c>
      <c r="W252" s="332" t="e">
        <f>365/(W65/W201*4)</f>
        <v>#DIV/0!</v>
      </c>
      <c r="X252" s="332" t="e">
        <f>365/(X65/X201*4)</f>
        <v>#DIV/0!</v>
      </c>
      <c r="Y252" s="332" t="e">
        <f>365/(Y65/Y201*4)</f>
        <v>#DIV/0!</v>
      </c>
      <c r="Z252" s="332" t="e">
        <f>365/(Z65/Z201*4)</f>
        <v>#DIV/0!</v>
      </c>
      <c r="AA252" s="332" t="e">
        <f>365/(AA65/AA201)</f>
        <v>#DIV/0!</v>
      </c>
      <c r="AB252" s="332" t="e">
        <f>365/(AB65/AB201*4)</f>
        <v>#DIV/0!</v>
      </c>
      <c r="AC252" s="332" t="e">
        <f>365/(AC65/AC201*4)</f>
        <v>#DIV/0!</v>
      </c>
      <c r="AD252" s="332" t="e">
        <f>365/(AD65/AD201*4)</f>
        <v>#DIV/0!</v>
      </c>
      <c r="AE252" s="332" t="e">
        <f>365/(AE65/AE201*4)</f>
        <v>#DIV/0!</v>
      </c>
      <c r="AF252" s="332" t="e">
        <f>365/(AF65/AF201)</f>
        <v>#DIV/0!</v>
      </c>
      <c r="AG252" s="332" t="e">
        <f>365/(AG65/AG201*4)</f>
        <v>#DIV/0!</v>
      </c>
      <c r="AH252" s="332" t="e">
        <f>365/(AH65/AH201*4)</f>
        <v>#DIV/0!</v>
      </c>
      <c r="AI252" s="332" t="e">
        <f>365/(AI65/AI201*4)</f>
        <v>#DIV/0!</v>
      </c>
      <c r="AJ252" s="332" t="e">
        <f>365/(AJ65/AJ201*4)</f>
        <v>#DIV/0!</v>
      </c>
      <c r="AK252" s="332" t="e">
        <f>365/(AK65/AK201)</f>
        <v>#DIV/0!</v>
      </c>
      <c r="AL252" s="332" t="e">
        <f>365/(AL65/AL201*4)</f>
        <v>#DIV/0!</v>
      </c>
      <c r="AM252" s="332" t="e">
        <f>365/(AM65/AM201*4)</f>
        <v>#DIV/0!</v>
      </c>
      <c r="AN252" s="332" t="e">
        <f>365/(AN65/AN201*4)</f>
        <v>#DIV/0!</v>
      </c>
      <c r="AO252" s="332" t="e">
        <f>365/(AO65/AO201*4)</f>
        <v>#DIV/0!</v>
      </c>
      <c r="AP252" s="332" t="e">
        <f>365/(AP65/AP201)</f>
        <v>#DIV/0!</v>
      </c>
      <c r="AQ252" s="332" t="e">
        <f>365/(AQ65/AQ201*4)</f>
        <v>#DIV/0!</v>
      </c>
      <c r="AR252" s="332" t="e">
        <f>365/(AR65/AR201*4)</f>
        <v>#DIV/0!</v>
      </c>
      <c r="AS252" s="332" t="e">
        <f>365/(AS65/AS201*4)</f>
        <v>#DIV/0!</v>
      </c>
      <c r="AT252" s="332" t="e">
        <f>365/(AT65/AT201*4)</f>
        <v>#DIV/0!</v>
      </c>
      <c r="AU252" s="332" t="e">
        <f>365/(AU65/AU201)</f>
        <v>#DIV/0!</v>
      </c>
      <c r="AV252" s="332" t="e">
        <f>365/(AV65/AV201*4)</f>
        <v>#DIV/0!</v>
      </c>
      <c r="AW252" s="332" t="e">
        <f>365/(AW65/AW201*4)</f>
        <v>#DIV/0!</v>
      </c>
      <c r="AX252" s="332" t="e">
        <f>365/(AX65/AX201*4)</f>
        <v>#DIV/0!</v>
      </c>
      <c r="AY252" s="332" t="e">
        <f>365/(AY65/AY201*4)</f>
        <v>#DIV/0!</v>
      </c>
      <c r="AZ252" s="332" t="e">
        <f>365/(AZ65/AZ201)</f>
        <v>#DIV/0!</v>
      </c>
      <c r="BA252" s="332" t="e">
        <f>365/(BA65/BA201*4)</f>
        <v>#DIV/0!</v>
      </c>
      <c r="BB252" s="332" t="e">
        <f>365/(BB65/BB201*4)</f>
        <v>#DIV/0!</v>
      </c>
      <c r="BC252" s="332" t="e">
        <f>365/(BC65/BC201*4)</f>
        <v>#DIV/0!</v>
      </c>
      <c r="BD252" s="332" t="e">
        <f>365/(BD65/BD201*4)</f>
        <v>#DIV/0!</v>
      </c>
      <c r="BE252" s="332" t="e">
        <f>365/(BE65/BE201)</f>
        <v>#DIV/0!</v>
      </c>
      <c r="BF252" s="332" t="e">
        <f>365/(BF65/BF201*4)</f>
        <v>#DIV/0!</v>
      </c>
      <c r="BG252" s="332" t="e">
        <f>365/(BG65/BG201*4)</f>
        <v>#DIV/0!</v>
      </c>
      <c r="BH252" s="332" t="e">
        <f>365/(BH65/BH201*4)</f>
        <v>#DIV/0!</v>
      </c>
      <c r="BI252" s="332" t="e">
        <f>365/(BI65/BI201*4)</f>
        <v>#DIV/0!</v>
      </c>
      <c r="BJ252" s="332" t="e">
        <f>365/(BJ65/BJ201)</f>
        <v>#DIV/0!</v>
      </c>
      <c r="BK252" s="332" t="e">
        <f>365/(BK65/BK201*4)</f>
        <v>#DIV/0!</v>
      </c>
      <c r="BL252" s="332" t="e">
        <f>365/(BL65/BL201*4)</f>
        <v>#DIV/0!</v>
      </c>
      <c r="BM252" s="332" t="e">
        <f>365/(BM65/BM201*4)</f>
        <v>#DIV/0!</v>
      </c>
      <c r="BN252" s="434" t="e">
        <f>365/(BN64/BN201*4)</f>
        <v>#DIV/0!</v>
      </c>
      <c r="BO252" s="434" t="e">
        <f>365/(BO65/BO201)</f>
        <v>#DIV/0!</v>
      </c>
      <c r="BP252" s="434" t="e">
        <f>365/(BP64/BP201*4)</f>
        <v>#DIV/0!</v>
      </c>
      <c r="BQ252" s="434" t="e">
        <f>365/(BQ64/BQ201*4)</f>
        <v>#DIV/0!</v>
      </c>
      <c r="BR252" s="434" t="e">
        <f>365/(BR64/BR201*4)</f>
        <v>#DIV/0!</v>
      </c>
      <c r="BS252" s="434" t="e">
        <f>365/(BS64/BS201*4)</f>
        <v>#DIV/0!</v>
      </c>
      <c r="BT252" s="434" t="e">
        <f>365/(BT65/BT201)</f>
        <v>#DIV/0!</v>
      </c>
    </row>
    <row r="253" spans="1:72" ht="13">
      <c r="A253" s="676">
        <f t="shared" si="323"/>
        <v>247</v>
      </c>
      <c r="B253" s="27"/>
      <c r="C253" s="229"/>
      <c r="D253" s="229"/>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65"/>
      <c r="AF253" s="165"/>
      <c r="AG253" s="165"/>
      <c r="AH253" s="165"/>
      <c r="AI253" s="165"/>
      <c r="AJ253" s="165"/>
      <c r="AK253" s="165"/>
      <c r="AL253" s="165"/>
      <c r="AM253" s="165"/>
      <c r="AN253" s="165"/>
      <c r="AO253" s="165"/>
      <c r="AP253" s="165"/>
      <c r="AQ253" s="165"/>
      <c r="AR253" s="165"/>
      <c r="AS253" s="165"/>
      <c r="AT253" s="165"/>
      <c r="AU253" s="165"/>
      <c r="AV253" s="165"/>
      <c r="AW253" s="165"/>
      <c r="AX253" s="165"/>
      <c r="AY253" s="165"/>
      <c r="AZ253" s="165"/>
      <c r="BA253" s="165"/>
      <c r="BB253" s="165"/>
      <c r="BC253" s="165"/>
      <c r="BD253" s="165"/>
      <c r="BE253" s="165"/>
      <c r="BF253" s="165"/>
      <c r="BG253" s="165"/>
      <c r="BH253" s="165"/>
      <c r="BI253" s="165"/>
      <c r="BJ253" s="165"/>
      <c r="BK253" s="165"/>
      <c r="BL253" s="165"/>
      <c r="BM253" s="165"/>
      <c r="BN253" s="435"/>
      <c r="BO253" s="435"/>
      <c r="BP253" s="435"/>
      <c r="BQ253" s="435"/>
      <c r="BR253" s="435"/>
      <c r="BS253" s="435"/>
      <c r="BT253" s="435"/>
    </row>
    <row r="254" spans="1:72" ht="13">
      <c r="A254" s="676">
        <f t="shared" si="323"/>
        <v>248</v>
      </c>
      <c r="B254" s="27" t="s">
        <v>312</v>
      </c>
      <c r="C254" s="229"/>
      <c r="D254" s="229"/>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65"/>
      <c r="AF254" s="165"/>
      <c r="AG254" s="165"/>
      <c r="AH254" s="165"/>
      <c r="AI254" s="165"/>
      <c r="AJ254" s="165"/>
      <c r="AK254" s="165"/>
      <c r="AL254" s="165"/>
      <c r="AM254" s="165"/>
      <c r="AN254" s="165"/>
      <c r="AO254" s="165"/>
      <c r="AP254" s="165"/>
      <c r="AQ254" s="165"/>
      <c r="AR254" s="165"/>
      <c r="AS254" s="165"/>
      <c r="AT254" s="165"/>
      <c r="AU254" s="165"/>
      <c r="AV254" s="165"/>
      <c r="AW254" s="165"/>
      <c r="AX254" s="165"/>
      <c r="AY254" s="165"/>
      <c r="AZ254" s="165"/>
      <c r="BA254" s="165"/>
      <c r="BB254" s="165"/>
      <c r="BC254" s="165"/>
      <c r="BD254" s="165"/>
      <c r="BE254" s="165"/>
      <c r="BF254" s="165"/>
      <c r="BG254" s="165"/>
      <c r="BH254" s="165"/>
      <c r="BI254" s="165"/>
      <c r="BJ254" s="165"/>
      <c r="BK254" s="165"/>
      <c r="BL254" s="165"/>
      <c r="BM254" s="165"/>
      <c r="BN254" s="435"/>
      <c r="BO254" s="435"/>
      <c r="BP254" s="435"/>
      <c r="BQ254" s="435"/>
      <c r="BR254" s="435"/>
      <c r="BS254" s="435"/>
      <c r="BT254" s="435"/>
    </row>
    <row r="255" spans="1:72" ht="13">
      <c r="A255" s="676">
        <f t="shared" si="323"/>
        <v>249</v>
      </c>
      <c r="B255" s="27" t="s">
        <v>313</v>
      </c>
      <c r="C255" s="229"/>
      <c r="D255" s="229"/>
      <c r="E255" s="291" t="e">
        <f t="shared" ref="E255:AJ255" si="356">E91/E90</f>
        <v>#DIV/0!</v>
      </c>
      <c r="F255" s="291" t="e">
        <f t="shared" si="356"/>
        <v>#DIV/0!</v>
      </c>
      <c r="G255" s="291" t="e">
        <f t="shared" si="356"/>
        <v>#DIV/0!</v>
      </c>
      <c r="H255" s="291" t="e">
        <f t="shared" si="356"/>
        <v>#DIV/0!</v>
      </c>
      <c r="I255" s="291" t="e">
        <f t="shared" si="356"/>
        <v>#DIV/0!</v>
      </c>
      <c r="J255" s="291" t="e">
        <f t="shared" si="356"/>
        <v>#DIV/0!</v>
      </c>
      <c r="K255" s="291" t="e">
        <f t="shared" si="356"/>
        <v>#DIV/0!</v>
      </c>
      <c r="L255" s="291" t="e">
        <f t="shared" si="356"/>
        <v>#DIV/0!</v>
      </c>
      <c r="M255" s="291" t="e">
        <f t="shared" si="356"/>
        <v>#DIV/0!</v>
      </c>
      <c r="N255" s="291" t="e">
        <f t="shared" si="356"/>
        <v>#DIV/0!</v>
      </c>
      <c r="O255" s="291" t="e">
        <f t="shared" si="356"/>
        <v>#DIV/0!</v>
      </c>
      <c r="P255" s="291" t="e">
        <f t="shared" si="356"/>
        <v>#DIV/0!</v>
      </c>
      <c r="Q255" s="291" t="e">
        <f t="shared" si="356"/>
        <v>#DIV/0!</v>
      </c>
      <c r="R255" s="291" t="e">
        <f t="shared" si="356"/>
        <v>#DIV/0!</v>
      </c>
      <c r="S255" s="291" t="e">
        <f t="shared" si="356"/>
        <v>#DIV/0!</v>
      </c>
      <c r="T255" s="291" t="e">
        <f t="shared" si="356"/>
        <v>#DIV/0!</v>
      </c>
      <c r="U255" s="291" t="e">
        <f t="shared" si="356"/>
        <v>#DIV/0!</v>
      </c>
      <c r="V255" s="291" t="e">
        <f t="shared" si="356"/>
        <v>#DIV/0!</v>
      </c>
      <c r="W255" s="291" t="e">
        <f t="shared" si="356"/>
        <v>#DIV/0!</v>
      </c>
      <c r="X255" s="291" t="e">
        <f t="shared" si="356"/>
        <v>#DIV/0!</v>
      </c>
      <c r="Y255" s="291" t="e">
        <f t="shared" si="356"/>
        <v>#DIV/0!</v>
      </c>
      <c r="Z255" s="291" t="e">
        <f t="shared" si="356"/>
        <v>#DIV/0!</v>
      </c>
      <c r="AA255" s="291" t="e">
        <f t="shared" si="356"/>
        <v>#DIV/0!</v>
      </c>
      <c r="AB255" s="291" t="e">
        <f t="shared" si="356"/>
        <v>#DIV/0!</v>
      </c>
      <c r="AC255" s="291" t="e">
        <f t="shared" si="356"/>
        <v>#DIV/0!</v>
      </c>
      <c r="AD255" s="291" t="e">
        <f t="shared" si="356"/>
        <v>#DIV/0!</v>
      </c>
      <c r="AE255" s="291" t="e">
        <f t="shared" si="356"/>
        <v>#DIV/0!</v>
      </c>
      <c r="AF255" s="291" t="e">
        <f t="shared" si="356"/>
        <v>#DIV/0!</v>
      </c>
      <c r="AG255" s="291" t="e">
        <f t="shared" si="356"/>
        <v>#DIV/0!</v>
      </c>
      <c r="AH255" s="291" t="e">
        <f t="shared" si="356"/>
        <v>#DIV/0!</v>
      </c>
      <c r="AI255" s="291" t="e">
        <f t="shared" si="356"/>
        <v>#DIV/0!</v>
      </c>
      <c r="AJ255" s="291" t="e">
        <f t="shared" si="356"/>
        <v>#DIV/0!</v>
      </c>
      <c r="AK255" s="291" t="e">
        <f t="shared" ref="AK255:BK255" si="357">AK91/AK90</f>
        <v>#DIV/0!</v>
      </c>
      <c r="AL255" s="291" t="e">
        <f t="shared" si="357"/>
        <v>#DIV/0!</v>
      </c>
      <c r="AM255" s="291" t="e">
        <f t="shared" si="357"/>
        <v>#DIV/0!</v>
      </c>
      <c r="AN255" s="291" t="e">
        <f t="shared" si="357"/>
        <v>#DIV/0!</v>
      </c>
      <c r="AO255" s="291" t="e">
        <f t="shared" si="357"/>
        <v>#DIV/0!</v>
      </c>
      <c r="AP255" s="291" t="e">
        <f t="shared" si="357"/>
        <v>#DIV/0!</v>
      </c>
      <c r="AQ255" s="291" t="e">
        <f t="shared" si="357"/>
        <v>#DIV/0!</v>
      </c>
      <c r="AR255" s="291" t="e">
        <f t="shared" si="357"/>
        <v>#DIV/0!</v>
      </c>
      <c r="AS255" s="291" t="e">
        <f t="shared" si="357"/>
        <v>#DIV/0!</v>
      </c>
      <c r="AT255" s="291" t="e">
        <f t="shared" si="357"/>
        <v>#DIV/0!</v>
      </c>
      <c r="AU255" s="291" t="e">
        <f t="shared" si="357"/>
        <v>#DIV/0!</v>
      </c>
      <c r="AV255" s="291" t="e">
        <f t="shared" si="357"/>
        <v>#DIV/0!</v>
      </c>
      <c r="AW255" s="291" t="e">
        <f t="shared" si="357"/>
        <v>#DIV/0!</v>
      </c>
      <c r="AX255" s="291" t="e">
        <f t="shared" si="357"/>
        <v>#DIV/0!</v>
      </c>
      <c r="AY255" s="291" t="e">
        <f t="shared" si="357"/>
        <v>#DIV/0!</v>
      </c>
      <c r="AZ255" s="291" t="e">
        <f t="shared" si="357"/>
        <v>#DIV/0!</v>
      </c>
      <c r="BA255" s="291" t="e">
        <f t="shared" si="357"/>
        <v>#DIV/0!</v>
      </c>
      <c r="BB255" s="291" t="e">
        <f t="shared" si="357"/>
        <v>#DIV/0!</v>
      </c>
      <c r="BC255" s="291" t="e">
        <f t="shared" si="357"/>
        <v>#DIV/0!</v>
      </c>
      <c r="BD255" s="291" t="e">
        <f t="shared" si="357"/>
        <v>#DIV/0!</v>
      </c>
      <c r="BE255" s="291" t="e">
        <f t="shared" si="357"/>
        <v>#DIV/0!</v>
      </c>
      <c r="BF255" s="291" t="e">
        <f t="shared" si="357"/>
        <v>#DIV/0!</v>
      </c>
      <c r="BG255" s="291" t="e">
        <f t="shared" si="357"/>
        <v>#DIV/0!</v>
      </c>
      <c r="BH255" s="291" t="e">
        <f t="shared" si="357"/>
        <v>#DIV/0!</v>
      </c>
      <c r="BI255" s="291" t="e">
        <f t="shared" si="357"/>
        <v>#DIV/0!</v>
      </c>
      <c r="BJ255" s="291" t="e">
        <f t="shared" si="357"/>
        <v>#DIV/0!</v>
      </c>
      <c r="BK255" s="291" t="e">
        <f t="shared" si="357"/>
        <v>#DIV/0!</v>
      </c>
      <c r="BL255" s="291" t="e">
        <f>BL91/BL90</f>
        <v>#DIV/0!</v>
      </c>
      <c r="BM255" s="291" t="e">
        <f>BM91/BM90</f>
        <v>#DIV/0!</v>
      </c>
      <c r="BN255" s="364" t="e">
        <f>BI255</f>
        <v>#DIV/0!</v>
      </c>
      <c r="BO255" s="436" t="e">
        <f>BO91/BO90</f>
        <v>#DIV/0!</v>
      </c>
      <c r="BP255" s="364" t="e">
        <f>BK255</f>
        <v>#DIV/0!</v>
      </c>
      <c r="BQ255" s="364" t="e">
        <f>BL255</f>
        <v>#DIV/0!</v>
      </c>
      <c r="BR255" s="364" t="e">
        <f>BM255</f>
        <v>#DIV/0!</v>
      </c>
      <c r="BS255" s="364" t="e">
        <f>BN255</f>
        <v>#DIV/0!</v>
      </c>
      <c r="BT255" s="436" t="e">
        <f>BT91/BT90</f>
        <v>#DIV/0!</v>
      </c>
    </row>
    <row r="256" spans="1:72" ht="13">
      <c r="A256" s="676">
        <f t="shared" si="323"/>
        <v>250</v>
      </c>
      <c r="B256" s="229"/>
      <c r="C256" s="229"/>
      <c r="D256" s="229"/>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65"/>
      <c r="AM256" s="165"/>
      <c r="AN256" s="165"/>
      <c r="AO256" s="165"/>
      <c r="AP256" s="165"/>
      <c r="AQ256" s="165"/>
      <c r="AR256" s="165"/>
      <c r="AS256" s="165"/>
      <c r="AT256" s="165"/>
      <c r="AU256" s="165"/>
      <c r="AV256" s="165"/>
      <c r="AW256" s="165"/>
      <c r="AX256" s="165"/>
      <c r="AY256" s="165"/>
      <c r="AZ256" s="165"/>
      <c r="BA256" s="165"/>
      <c r="BB256" s="165"/>
      <c r="BC256" s="165"/>
      <c r="BD256" s="165"/>
      <c r="BE256" s="165"/>
      <c r="BF256" s="165"/>
      <c r="BG256" s="165"/>
      <c r="BH256" s="165"/>
      <c r="BI256" s="165"/>
      <c r="BJ256" s="165"/>
      <c r="BK256" s="165"/>
      <c r="BL256" s="165"/>
      <c r="BM256" s="165"/>
      <c r="BN256" s="435"/>
      <c r="BO256" s="435"/>
      <c r="BP256" s="435"/>
      <c r="BQ256" s="435"/>
      <c r="BR256" s="435"/>
      <c r="BS256" s="435"/>
      <c r="BT256" s="435"/>
    </row>
    <row r="257" spans="1:72" ht="13">
      <c r="A257" s="676">
        <f t="shared" si="323"/>
        <v>251</v>
      </c>
      <c r="B257" s="27" t="s">
        <v>314</v>
      </c>
      <c r="C257" s="229"/>
      <c r="D257" s="229"/>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65"/>
      <c r="AM257" s="165"/>
      <c r="AN257" s="165"/>
      <c r="AO257" s="165"/>
      <c r="AP257" s="165"/>
      <c r="AQ257" s="165"/>
      <c r="AR257" s="165"/>
      <c r="AS257" s="165"/>
      <c r="AT257" s="165"/>
      <c r="AU257" s="165"/>
      <c r="AV257" s="165"/>
      <c r="AW257" s="165"/>
      <c r="AX257" s="165"/>
      <c r="AY257" s="165"/>
      <c r="AZ257" s="165"/>
      <c r="BA257" s="165"/>
      <c r="BB257" s="165"/>
      <c r="BC257" s="165"/>
      <c r="BD257" s="165"/>
      <c r="BE257" s="165"/>
      <c r="BF257" s="165"/>
      <c r="BG257" s="165"/>
      <c r="BH257" s="165"/>
      <c r="BI257" s="165"/>
      <c r="BJ257" s="165"/>
      <c r="BK257" s="165"/>
      <c r="BL257" s="165"/>
      <c r="BM257" s="165"/>
      <c r="BN257" s="435"/>
      <c r="BO257" s="435"/>
      <c r="BP257" s="435"/>
      <c r="BQ257" s="435"/>
      <c r="BR257" s="435"/>
      <c r="BS257" s="435"/>
      <c r="BT257" s="435"/>
    </row>
    <row r="258" spans="1:72" ht="13">
      <c r="A258" s="676">
        <f t="shared" si="323"/>
        <v>252</v>
      </c>
      <c r="B258" s="229" t="s">
        <v>315</v>
      </c>
      <c r="C258" s="229"/>
      <c r="D258" s="229"/>
      <c r="E258" s="291" t="e">
        <f t="shared" ref="E258:AJ258" si="358">-E150/E59</f>
        <v>#DIV/0!</v>
      </c>
      <c r="F258" s="291" t="e">
        <f t="shared" si="358"/>
        <v>#DIV/0!</v>
      </c>
      <c r="G258" s="291" t="e">
        <f t="shared" si="358"/>
        <v>#DIV/0!</v>
      </c>
      <c r="H258" s="291" t="e">
        <f t="shared" si="358"/>
        <v>#DIV/0!</v>
      </c>
      <c r="I258" s="291" t="e">
        <f t="shared" si="358"/>
        <v>#DIV/0!</v>
      </c>
      <c r="J258" s="291" t="e">
        <f t="shared" si="358"/>
        <v>#DIV/0!</v>
      </c>
      <c r="K258" s="291" t="e">
        <f t="shared" si="358"/>
        <v>#DIV/0!</v>
      </c>
      <c r="L258" s="291" t="e">
        <f t="shared" si="358"/>
        <v>#DIV/0!</v>
      </c>
      <c r="M258" s="291" t="e">
        <f t="shared" si="358"/>
        <v>#DIV/0!</v>
      </c>
      <c r="N258" s="291" t="e">
        <f t="shared" si="358"/>
        <v>#DIV/0!</v>
      </c>
      <c r="O258" s="291" t="e">
        <f t="shared" si="358"/>
        <v>#DIV/0!</v>
      </c>
      <c r="P258" s="291" t="e">
        <f t="shared" si="358"/>
        <v>#DIV/0!</v>
      </c>
      <c r="Q258" s="291" t="e">
        <f t="shared" si="358"/>
        <v>#DIV/0!</v>
      </c>
      <c r="R258" s="291" t="e">
        <f t="shared" si="358"/>
        <v>#DIV/0!</v>
      </c>
      <c r="S258" s="291" t="e">
        <f t="shared" si="358"/>
        <v>#DIV/0!</v>
      </c>
      <c r="T258" s="291" t="e">
        <f t="shared" si="358"/>
        <v>#DIV/0!</v>
      </c>
      <c r="U258" s="291" t="e">
        <f t="shared" si="358"/>
        <v>#DIV/0!</v>
      </c>
      <c r="V258" s="291" t="e">
        <f t="shared" si="358"/>
        <v>#DIV/0!</v>
      </c>
      <c r="W258" s="291" t="e">
        <f t="shared" si="358"/>
        <v>#DIV/0!</v>
      </c>
      <c r="X258" s="291" t="e">
        <f t="shared" si="358"/>
        <v>#DIV/0!</v>
      </c>
      <c r="Y258" s="291" t="e">
        <f t="shared" si="358"/>
        <v>#DIV/0!</v>
      </c>
      <c r="Z258" s="291" t="e">
        <f t="shared" si="358"/>
        <v>#DIV/0!</v>
      </c>
      <c r="AA258" s="291" t="e">
        <f t="shared" si="358"/>
        <v>#DIV/0!</v>
      </c>
      <c r="AB258" s="291" t="e">
        <f t="shared" si="358"/>
        <v>#DIV/0!</v>
      </c>
      <c r="AC258" s="291" t="e">
        <f t="shared" si="358"/>
        <v>#DIV/0!</v>
      </c>
      <c r="AD258" s="291" t="e">
        <f t="shared" si="358"/>
        <v>#DIV/0!</v>
      </c>
      <c r="AE258" s="291" t="e">
        <f t="shared" si="358"/>
        <v>#DIV/0!</v>
      </c>
      <c r="AF258" s="291" t="e">
        <f t="shared" si="358"/>
        <v>#DIV/0!</v>
      </c>
      <c r="AG258" s="291" t="e">
        <f t="shared" si="358"/>
        <v>#DIV/0!</v>
      </c>
      <c r="AH258" s="291" t="e">
        <f t="shared" si="358"/>
        <v>#DIV/0!</v>
      </c>
      <c r="AI258" s="291" t="e">
        <f t="shared" si="358"/>
        <v>#DIV/0!</v>
      </c>
      <c r="AJ258" s="291" t="e">
        <f t="shared" si="358"/>
        <v>#DIV/0!</v>
      </c>
      <c r="AK258" s="291" t="e">
        <f t="shared" ref="AK258:BK258" si="359">-AK150/AK59</f>
        <v>#DIV/0!</v>
      </c>
      <c r="AL258" s="291" t="e">
        <f t="shared" si="359"/>
        <v>#DIV/0!</v>
      </c>
      <c r="AM258" s="291" t="e">
        <f t="shared" si="359"/>
        <v>#DIV/0!</v>
      </c>
      <c r="AN258" s="291" t="e">
        <f t="shared" si="359"/>
        <v>#DIV/0!</v>
      </c>
      <c r="AO258" s="291" t="e">
        <f t="shared" si="359"/>
        <v>#DIV/0!</v>
      </c>
      <c r="AP258" s="291" t="e">
        <f t="shared" si="359"/>
        <v>#DIV/0!</v>
      </c>
      <c r="AQ258" s="291" t="e">
        <f t="shared" si="359"/>
        <v>#DIV/0!</v>
      </c>
      <c r="AR258" s="291" t="e">
        <f t="shared" si="359"/>
        <v>#DIV/0!</v>
      </c>
      <c r="AS258" s="291" t="e">
        <f t="shared" si="359"/>
        <v>#DIV/0!</v>
      </c>
      <c r="AT258" s="291" t="e">
        <f t="shared" si="359"/>
        <v>#DIV/0!</v>
      </c>
      <c r="AU258" s="291" t="e">
        <f t="shared" si="359"/>
        <v>#DIV/0!</v>
      </c>
      <c r="AV258" s="291" t="e">
        <f t="shared" si="359"/>
        <v>#DIV/0!</v>
      </c>
      <c r="AW258" s="291" t="e">
        <f t="shared" si="359"/>
        <v>#DIV/0!</v>
      </c>
      <c r="AX258" s="291" t="e">
        <f t="shared" si="359"/>
        <v>#DIV/0!</v>
      </c>
      <c r="AY258" s="291" t="e">
        <f t="shared" si="359"/>
        <v>#DIV/0!</v>
      </c>
      <c r="AZ258" s="291" t="e">
        <f t="shared" si="359"/>
        <v>#DIV/0!</v>
      </c>
      <c r="BA258" s="291" t="e">
        <f t="shared" si="359"/>
        <v>#DIV/0!</v>
      </c>
      <c r="BB258" s="291" t="e">
        <f t="shared" si="359"/>
        <v>#DIV/0!</v>
      </c>
      <c r="BC258" s="291" t="e">
        <f t="shared" si="359"/>
        <v>#DIV/0!</v>
      </c>
      <c r="BD258" s="291" t="e">
        <f t="shared" si="359"/>
        <v>#DIV/0!</v>
      </c>
      <c r="BE258" s="291" t="e">
        <f t="shared" si="359"/>
        <v>#DIV/0!</v>
      </c>
      <c r="BF258" s="291" t="e">
        <f t="shared" si="359"/>
        <v>#DIV/0!</v>
      </c>
      <c r="BG258" s="291" t="e">
        <f t="shared" si="359"/>
        <v>#DIV/0!</v>
      </c>
      <c r="BH258" s="291" t="e">
        <f t="shared" si="359"/>
        <v>#DIV/0!</v>
      </c>
      <c r="BI258" s="291" t="e">
        <f t="shared" si="359"/>
        <v>#DIV/0!</v>
      </c>
      <c r="BJ258" s="291" t="e">
        <f t="shared" si="359"/>
        <v>#DIV/0!</v>
      </c>
      <c r="BK258" s="291" t="e">
        <f t="shared" si="359"/>
        <v>#DIV/0!</v>
      </c>
      <c r="BL258" s="291" t="e">
        <f>-BL150/BL59</f>
        <v>#DIV/0!</v>
      </c>
      <c r="BM258" s="291" t="e">
        <f>-BM150/BM59</f>
        <v>#DIV/0!</v>
      </c>
      <c r="BN258" s="364" t="e">
        <f>BI258</f>
        <v>#DIV/0!</v>
      </c>
      <c r="BO258" s="436" t="e">
        <f>-BO150/BO59</f>
        <v>#DIV/0!</v>
      </c>
      <c r="BP258" s="364" t="e">
        <f>BK258</f>
        <v>#DIV/0!</v>
      </c>
      <c r="BQ258" s="364" t="e">
        <f>BL258</f>
        <v>#DIV/0!</v>
      </c>
      <c r="BR258" s="364" t="e">
        <f>BM258</f>
        <v>#DIV/0!</v>
      </c>
      <c r="BS258" s="364" t="e">
        <f>BN258</f>
        <v>#DIV/0!</v>
      </c>
      <c r="BT258" s="436" t="e">
        <f>-BT150/BT59</f>
        <v>#DIV/0!</v>
      </c>
    </row>
    <row r="259" spans="1:72" ht="13">
      <c r="A259" s="676">
        <f t="shared" si="323"/>
        <v>253</v>
      </c>
      <c r="B259" s="229"/>
      <c r="C259" s="229"/>
      <c r="D259" s="229"/>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65"/>
      <c r="AF259" s="165"/>
      <c r="AG259" s="165"/>
      <c r="AH259" s="165"/>
      <c r="AI259" s="165"/>
      <c r="AJ259" s="165"/>
      <c r="AK259" s="165"/>
      <c r="AL259" s="165"/>
      <c r="AM259" s="165"/>
      <c r="AN259" s="165"/>
      <c r="AO259" s="165"/>
      <c r="AP259" s="165"/>
      <c r="AQ259" s="165"/>
      <c r="AR259" s="165"/>
      <c r="AS259" s="165"/>
      <c r="AT259" s="165"/>
      <c r="AU259" s="165"/>
      <c r="AV259" s="165"/>
      <c r="AW259" s="165"/>
      <c r="AX259" s="165"/>
      <c r="AY259" s="165"/>
      <c r="AZ259" s="165"/>
      <c r="BA259" s="165"/>
      <c r="BB259" s="165"/>
      <c r="BC259" s="165"/>
      <c r="BD259" s="165"/>
      <c r="BE259" s="165"/>
      <c r="BF259" s="165"/>
      <c r="BG259" s="165"/>
      <c r="BH259" s="165"/>
      <c r="BI259" s="165"/>
      <c r="BJ259" s="165"/>
      <c r="BK259" s="165"/>
      <c r="BL259" s="165"/>
      <c r="BM259" s="165"/>
      <c r="BN259" s="435"/>
      <c r="BO259" s="435"/>
      <c r="BP259" s="435"/>
      <c r="BQ259" s="435"/>
      <c r="BR259" s="435"/>
      <c r="BS259" s="435"/>
      <c r="BT259" s="435"/>
    </row>
    <row r="260" spans="1:72" ht="13">
      <c r="A260" s="676">
        <f t="shared" si="323"/>
        <v>254</v>
      </c>
      <c r="B260" s="229"/>
      <c r="C260" s="229"/>
      <c r="D260" s="229"/>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5"/>
      <c r="AY260" s="165"/>
      <c r="AZ260" s="165"/>
      <c r="BA260" s="165"/>
      <c r="BB260" s="165"/>
      <c r="BC260" s="165"/>
      <c r="BD260" s="165"/>
      <c r="BE260" s="165"/>
      <c r="BF260" s="165"/>
      <c r="BG260" s="165"/>
      <c r="BH260" s="165"/>
      <c r="BI260" s="165"/>
      <c r="BJ260" s="165"/>
      <c r="BK260" s="165"/>
      <c r="BL260" s="165"/>
      <c r="BM260" s="165"/>
      <c r="BN260" s="435"/>
      <c r="BO260" s="435"/>
      <c r="BP260" s="435"/>
      <c r="BQ260" s="435"/>
      <c r="BR260" s="435"/>
      <c r="BS260" s="435"/>
      <c r="BT260" s="435"/>
    </row>
    <row r="261" spans="1:72" ht="13">
      <c r="D261" s="230"/>
      <c r="H261" s="204"/>
      <c r="M261" s="204"/>
      <c r="R261" s="204"/>
    </row>
    <row r="262" spans="1:72" ht="13">
      <c r="D262" s="230"/>
      <c r="H262" s="204"/>
      <c r="M262" s="204"/>
      <c r="R262" s="204"/>
    </row>
    <row r="263" spans="1:72" ht="13">
      <c r="D263" s="230"/>
      <c r="H263" s="204"/>
      <c r="M263" s="204"/>
      <c r="R263" s="204"/>
    </row>
    <row r="264" spans="1:72" ht="13">
      <c r="H264" s="204"/>
      <c r="M264" s="204"/>
      <c r="R264" s="204"/>
    </row>
    <row r="265" spans="1:72" ht="13">
      <c r="H265" s="204"/>
      <c r="M265" s="204"/>
      <c r="R265" s="204"/>
    </row>
    <row r="266" spans="1:72" ht="13">
      <c r="H266" s="204"/>
      <c r="M266" s="204"/>
      <c r="R266" s="204"/>
    </row>
    <row r="267" spans="1:72" ht="13">
      <c r="H267" s="204"/>
      <c r="M267" s="204"/>
      <c r="R267" s="204"/>
    </row>
    <row r="268" spans="1:72" ht="13">
      <c r="H268" s="204"/>
      <c r="M268" s="204"/>
      <c r="R268" s="204"/>
    </row>
    <row r="269" spans="1:72" ht="13">
      <c r="H269" s="204"/>
      <c r="M269" s="204"/>
      <c r="R269" s="204"/>
    </row>
    <row r="270" spans="1:72" ht="13">
      <c r="H270" s="204"/>
      <c r="M270" s="204"/>
      <c r="R270" s="204"/>
    </row>
    <row r="271" spans="1:72" ht="13">
      <c r="H271" s="204"/>
      <c r="M271" s="204"/>
      <c r="R271" s="204"/>
    </row>
    <row r="272" spans="1:72" ht="13">
      <c r="H272" s="204"/>
      <c r="M272" s="204"/>
      <c r="R272" s="204"/>
    </row>
    <row r="273" spans="8:18" ht="13">
      <c r="H273" s="204"/>
      <c r="M273" s="204"/>
      <c r="R273" s="204"/>
    </row>
    <row r="274" spans="8:18" ht="13">
      <c r="H274" s="204"/>
      <c r="M274" s="204"/>
      <c r="R274" s="204"/>
    </row>
    <row r="275" spans="8:18" ht="13">
      <c r="H275" s="204"/>
      <c r="M275" s="204"/>
      <c r="R275" s="204"/>
    </row>
    <row r="276" spans="8:18" ht="13">
      <c r="H276" s="204"/>
      <c r="M276" s="204"/>
      <c r="R276" s="204"/>
    </row>
    <row r="277" spans="8:18" ht="13">
      <c r="H277" s="204"/>
      <c r="M277" s="204"/>
      <c r="R277" s="204"/>
    </row>
    <row r="278" spans="8:18" ht="13">
      <c r="H278" s="204"/>
      <c r="M278" s="204"/>
      <c r="R278" s="204"/>
    </row>
    <row r="279" spans="8:18" ht="13">
      <c r="H279" s="204"/>
      <c r="M279" s="204"/>
      <c r="R279" s="204"/>
    </row>
    <row r="280" spans="8:18" ht="13">
      <c r="H280" s="204"/>
      <c r="M280" s="204"/>
      <c r="R280" s="204"/>
    </row>
    <row r="281" spans="8:18" ht="13">
      <c r="H281" s="204"/>
      <c r="M281" s="204"/>
      <c r="R281" s="204"/>
    </row>
    <row r="282" spans="8:18" ht="13">
      <c r="H282" s="204"/>
      <c r="M282" s="204"/>
      <c r="R282" s="204"/>
    </row>
    <row r="283" spans="8:18" ht="13">
      <c r="H283" s="204"/>
      <c r="M283" s="204"/>
      <c r="R283" s="204"/>
    </row>
    <row r="284" spans="8:18" ht="13">
      <c r="H284" s="204"/>
      <c r="M284" s="204"/>
      <c r="R284" s="204"/>
    </row>
    <row r="285" spans="8:18" ht="13">
      <c r="H285" s="204"/>
      <c r="M285" s="204"/>
      <c r="R285" s="204"/>
    </row>
    <row r="286" spans="8:18" ht="13">
      <c r="H286" s="204"/>
      <c r="M286" s="204"/>
      <c r="R286" s="204"/>
    </row>
    <row r="287" spans="8:18" ht="13">
      <c r="H287" s="204"/>
      <c r="M287" s="204"/>
      <c r="R287" s="204"/>
    </row>
    <row r="288" spans="8:18" ht="13">
      <c r="H288" s="204"/>
      <c r="M288" s="204"/>
      <c r="R288" s="204"/>
    </row>
    <row r="289" spans="8:18" ht="13">
      <c r="H289" s="204"/>
      <c r="M289" s="204"/>
      <c r="R289" s="204"/>
    </row>
    <row r="290" spans="8:18" ht="13">
      <c r="H290" s="204"/>
      <c r="M290" s="204"/>
      <c r="R290" s="204"/>
    </row>
    <row r="291" spans="8:18" ht="13">
      <c r="H291" s="204"/>
      <c r="M291" s="204"/>
      <c r="R291" s="204"/>
    </row>
    <row r="292" spans="8:18" ht="13">
      <c r="H292" s="204"/>
      <c r="M292" s="204"/>
      <c r="R292" s="204"/>
    </row>
    <row r="293" spans="8:18" ht="13">
      <c r="H293" s="204"/>
      <c r="M293" s="204"/>
      <c r="R293" s="204"/>
    </row>
    <row r="294" spans="8:18" ht="13">
      <c r="H294" s="204"/>
      <c r="M294" s="204"/>
      <c r="R294" s="204"/>
    </row>
    <row r="295" spans="8:18" ht="13">
      <c r="H295" s="204"/>
      <c r="M295" s="204"/>
      <c r="R295" s="204"/>
    </row>
    <row r="296" spans="8:18" ht="13">
      <c r="H296" s="204"/>
      <c r="M296" s="204"/>
      <c r="R296" s="204"/>
    </row>
    <row r="297" spans="8:18" ht="13">
      <c r="H297" s="204"/>
      <c r="M297" s="204"/>
      <c r="R297" s="204"/>
    </row>
    <row r="298" spans="8:18" ht="13">
      <c r="H298" s="204"/>
      <c r="M298" s="204"/>
      <c r="R298" s="204"/>
    </row>
    <row r="299" spans="8:18" ht="13">
      <c r="H299" s="204"/>
      <c r="M299" s="204"/>
      <c r="R299" s="204"/>
    </row>
    <row r="300" spans="8:18" ht="13">
      <c r="H300" s="204"/>
      <c r="M300" s="204"/>
      <c r="R300" s="204"/>
    </row>
    <row r="301" spans="8:18" ht="13">
      <c r="H301" s="204"/>
      <c r="M301" s="204"/>
      <c r="R301" s="204"/>
    </row>
    <row r="302" spans="8:18" ht="13">
      <c r="H302" s="204"/>
      <c r="M302" s="204"/>
      <c r="R302" s="204"/>
    </row>
    <row r="303" spans="8:18" ht="13">
      <c r="H303" s="204"/>
      <c r="M303" s="204"/>
      <c r="R303" s="204"/>
    </row>
    <row r="304" spans="8:18" ht="13">
      <c r="H304" s="204"/>
      <c r="M304" s="204"/>
      <c r="R304" s="204"/>
    </row>
    <row r="305" spans="8:18" ht="13">
      <c r="H305" s="204"/>
      <c r="M305" s="204"/>
      <c r="R305" s="204"/>
    </row>
    <row r="306" spans="8:18" ht="13">
      <c r="H306" s="204"/>
      <c r="M306" s="204"/>
      <c r="R306" s="204"/>
    </row>
    <row r="307" spans="8:18" ht="13">
      <c r="H307" s="204"/>
      <c r="M307" s="204"/>
      <c r="R307" s="204"/>
    </row>
    <row r="308" spans="8:18" ht="13">
      <c r="H308" s="204"/>
      <c r="M308" s="204"/>
      <c r="R308" s="204"/>
    </row>
    <row r="309" spans="8:18" ht="13">
      <c r="H309" s="204"/>
      <c r="M309" s="204"/>
      <c r="R309" s="204"/>
    </row>
    <row r="310" spans="8:18" ht="13">
      <c r="H310" s="204"/>
      <c r="M310" s="204"/>
      <c r="R310" s="204"/>
    </row>
    <row r="311" spans="8:18" ht="13">
      <c r="H311" s="204"/>
      <c r="M311" s="204"/>
      <c r="R311" s="204"/>
    </row>
    <row r="312" spans="8:18" ht="13">
      <c r="H312" s="204"/>
      <c r="M312" s="204"/>
      <c r="R312" s="204"/>
    </row>
    <row r="313" spans="8:18" ht="13">
      <c r="H313" s="204"/>
      <c r="M313" s="204"/>
      <c r="R313" s="204"/>
    </row>
    <row r="314" spans="8:18" ht="13">
      <c r="H314" s="204"/>
      <c r="M314" s="204"/>
      <c r="R314" s="204"/>
    </row>
    <row r="315" spans="8:18" ht="13">
      <c r="H315" s="204"/>
      <c r="M315" s="204"/>
      <c r="R315" s="204"/>
    </row>
    <row r="316" spans="8:18" ht="13">
      <c r="H316" s="204"/>
      <c r="M316" s="204"/>
      <c r="R316" s="204"/>
    </row>
    <row r="317" spans="8:18" ht="13">
      <c r="H317" s="204"/>
      <c r="M317" s="204"/>
      <c r="R317" s="204"/>
    </row>
    <row r="318" spans="8:18" ht="13">
      <c r="H318" s="204"/>
      <c r="M318" s="204"/>
      <c r="R318" s="204"/>
    </row>
    <row r="319" spans="8:18" ht="13">
      <c r="H319" s="204"/>
      <c r="M319" s="204"/>
      <c r="R319" s="204"/>
    </row>
    <row r="320" spans="8:18" ht="13">
      <c r="H320" s="204"/>
      <c r="M320" s="204"/>
      <c r="R320" s="204"/>
    </row>
    <row r="321" spans="8:18" ht="13">
      <c r="H321" s="204"/>
      <c r="M321" s="204"/>
      <c r="R321" s="204"/>
    </row>
    <row r="322" spans="8:18" ht="13">
      <c r="H322" s="204"/>
      <c r="M322" s="204"/>
      <c r="R322" s="204"/>
    </row>
    <row r="323" spans="8:18" ht="13">
      <c r="H323" s="204"/>
      <c r="M323" s="204"/>
      <c r="R323" s="204"/>
    </row>
    <row r="324" spans="8:18" ht="13">
      <c r="H324" s="204"/>
      <c r="M324" s="204"/>
      <c r="R324" s="204"/>
    </row>
    <row r="325" spans="8:18" ht="13">
      <c r="H325" s="204"/>
      <c r="M325" s="204"/>
      <c r="R325" s="204"/>
    </row>
    <row r="326" spans="8:18" ht="13">
      <c r="H326" s="204"/>
      <c r="M326" s="204"/>
      <c r="R326" s="204"/>
    </row>
    <row r="327" spans="8:18" ht="13">
      <c r="H327" s="204"/>
      <c r="M327" s="204"/>
      <c r="R327" s="204"/>
    </row>
    <row r="328" spans="8:18" ht="13">
      <c r="H328" s="204"/>
      <c r="M328" s="204"/>
      <c r="R328" s="204"/>
    </row>
    <row r="329" spans="8:18" ht="13">
      <c r="H329" s="204"/>
      <c r="M329" s="204"/>
      <c r="R329" s="204"/>
    </row>
    <row r="330" spans="8:18" ht="13">
      <c r="H330" s="204"/>
      <c r="M330" s="204"/>
      <c r="R330" s="204"/>
    </row>
    <row r="331" spans="8:18" ht="13">
      <c r="H331" s="204"/>
      <c r="M331" s="204"/>
      <c r="R331" s="204"/>
    </row>
    <row r="332" spans="8:18" ht="13">
      <c r="H332" s="204"/>
      <c r="M332" s="204"/>
      <c r="R332" s="204"/>
    </row>
    <row r="333" spans="8:18" ht="13">
      <c r="H333" s="204"/>
      <c r="M333" s="204"/>
      <c r="R333" s="204"/>
    </row>
    <row r="334" spans="8:18" ht="13">
      <c r="H334" s="204"/>
      <c r="M334" s="204"/>
      <c r="R334" s="204"/>
    </row>
    <row r="335" spans="8:18" ht="13">
      <c r="H335" s="204"/>
      <c r="M335" s="204"/>
      <c r="R335" s="204"/>
    </row>
    <row r="336" spans="8:18" ht="13">
      <c r="H336" s="204"/>
      <c r="M336" s="204"/>
      <c r="R336" s="204"/>
    </row>
    <row r="337" spans="8:18" ht="13">
      <c r="H337" s="204"/>
      <c r="M337" s="204"/>
      <c r="R337" s="204"/>
    </row>
    <row r="338" spans="8:18" ht="13">
      <c r="H338" s="204"/>
      <c r="M338" s="204"/>
      <c r="R338" s="204"/>
    </row>
    <row r="339" spans="8:18" ht="13">
      <c r="H339" s="204"/>
      <c r="M339" s="204"/>
      <c r="R339" s="204"/>
    </row>
    <row r="340" spans="8:18" ht="13">
      <c r="H340" s="204"/>
      <c r="M340" s="204"/>
      <c r="R340" s="204"/>
    </row>
    <row r="341" spans="8:18" ht="13">
      <c r="H341" s="204"/>
      <c r="M341" s="204"/>
      <c r="R341" s="204"/>
    </row>
    <row r="342" spans="8:18" ht="13">
      <c r="H342" s="204"/>
      <c r="M342" s="204"/>
      <c r="R342" s="204"/>
    </row>
    <row r="343" spans="8:18" ht="13">
      <c r="H343" s="204"/>
      <c r="M343" s="204"/>
      <c r="R343" s="204"/>
    </row>
    <row r="344" spans="8:18" ht="13">
      <c r="H344" s="204"/>
      <c r="M344" s="204"/>
      <c r="R344" s="204"/>
    </row>
    <row r="345" spans="8:18" ht="13">
      <c r="H345" s="204"/>
      <c r="M345" s="204"/>
      <c r="R345" s="204"/>
    </row>
    <row r="346" spans="8:18" ht="13">
      <c r="H346" s="204"/>
      <c r="M346" s="204"/>
      <c r="R346" s="204"/>
    </row>
    <row r="347" spans="8:18" ht="13">
      <c r="H347" s="204"/>
      <c r="M347" s="204"/>
      <c r="R347" s="204"/>
    </row>
    <row r="348" spans="8:18" ht="13">
      <c r="H348" s="204"/>
      <c r="M348" s="204"/>
      <c r="R348" s="204"/>
    </row>
    <row r="349" spans="8:18" ht="13">
      <c r="H349" s="204"/>
      <c r="M349" s="204"/>
      <c r="R349" s="204"/>
    </row>
    <row r="350" spans="8:18" ht="13">
      <c r="H350" s="204"/>
      <c r="M350" s="204"/>
      <c r="R350" s="204"/>
    </row>
    <row r="351" spans="8:18" ht="13">
      <c r="H351" s="204"/>
      <c r="M351" s="204"/>
      <c r="R351" s="204"/>
    </row>
    <row r="352" spans="8:18" ht="13">
      <c r="H352" s="204"/>
      <c r="M352" s="204"/>
      <c r="R352" s="204"/>
    </row>
    <row r="353" spans="8:18" ht="13">
      <c r="H353" s="204"/>
      <c r="M353" s="204"/>
      <c r="R353" s="204"/>
    </row>
    <row r="354" spans="8:18" ht="13">
      <c r="H354" s="204"/>
      <c r="M354" s="204"/>
      <c r="R354" s="204"/>
    </row>
    <row r="355" spans="8:18" ht="13">
      <c r="H355" s="204"/>
      <c r="M355" s="204"/>
      <c r="R355" s="204"/>
    </row>
    <row r="356" spans="8:18" ht="13">
      <c r="H356" s="204"/>
      <c r="M356" s="204"/>
      <c r="R356" s="204"/>
    </row>
    <row r="357" spans="8:18" ht="13">
      <c r="H357" s="204"/>
      <c r="M357" s="204"/>
      <c r="R357" s="204"/>
    </row>
    <row r="358" spans="8:18" ht="13">
      <c r="H358" s="204"/>
      <c r="M358" s="204"/>
      <c r="R358" s="204"/>
    </row>
    <row r="359" spans="8:18" ht="13">
      <c r="H359" s="204"/>
      <c r="M359" s="204"/>
      <c r="R359" s="204"/>
    </row>
    <row r="360" spans="8:18" ht="13">
      <c r="H360" s="204"/>
      <c r="M360" s="204"/>
      <c r="R360" s="204"/>
    </row>
    <row r="361" spans="8:18" ht="13">
      <c r="H361" s="204"/>
      <c r="M361" s="204"/>
      <c r="R361" s="204"/>
    </row>
    <row r="362" spans="8:18" ht="13">
      <c r="H362" s="204"/>
      <c r="M362" s="204"/>
      <c r="R362" s="204"/>
    </row>
    <row r="363" spans="8:18" ht="13">
      <c r="H363" s="204"/>
      <c r="M363" s="204"/>
      <c r="R363" s="204"/>
    </row>
    <row r="364" spans="8:18" ht="13">
      <c r="H364" s="204"/>
      <c r="M364" s="204"/>
      <c r="R364" s="204"/>
    </row>
    <row r="365" spans="8:18" ht="13">
      <c r="H365" s="204"/>
      <c r="M365" s="204"/>
      <c r="R365" s="204"/>
    </row>
    <row r="366" spans="8:18" ht="13">
      <c r="H366" s="204"/>
      <c r="M366" s="204"/>
      <c r="R366" s="204"/>
    </row>
    <row r="367" spans="8:18" ht="13">
      <c r="H367" s="204"/>
      <c r="M367" s="204"/>
      <c r="R367" s="204"/>
    </row>
    <row r="368" spans="8:18" ht="13">
      <c r="H368" s="204"/>
      <c r="M368" s="204"/>
      <c r="R368" s="204"/>
    </row>
    <row r="369" spans="8:18" ht="13">
      <c r="H369" s="204"/>
      <c r="M369" s="204"/>
      <c r="R369" s="204"/>
    </row>
    <row r="370" spans="8:18" ht="13">
      <c r="H370" s="204"/>
      <c r="M370" s="204"/>
      <c r="R370" s="204"/>
    </row>
    <row r="371" spans="8:18" ht="13">
      <c r="H371" s="204"/>
      <c r="M371" s="204"/>
      <c r="R371" s="204"/>
    </row>
    <row r="372" spans="8:18" ht="13">
      <c r="H372" s="204"/>
      <c r="M372" s="204"/>
      <c r="R372" s="204"/>
    </row>
    <row r="373" spans="8:18" ht="13">
      <c r="H373" s="204"/>
      <c r="M373" s="204"/>
      <c r="R373" s="204"/>
    </row>
    <row r="374" spans="8:18" ht="13">
      <c r="H374" s="204"/>
      <c r="M374" s="204"/>
      <c r="R374" s="204"/>
    </row>
    <row r="375" spans="8:18" ht="13">
      <c r="H375" s="204"/>
      <c r="M375" s="204"/>
      <c r="R375" s="204"/>
    </row>
    <row r="376" spans="8:18" ht="13">
      <c r="H376" s="204"/>
      <c r="M376" s="204"/>
      <c r="R376" s="204"/>
    </row>
    <row r="377" spans="8:18" ht="13">
      <c r="H377" s="204"/>
      <c r="M377" s="204"/>
      <c r="R377" s="204"/>
    </row>
    <row r="378" spans="8:18" ht="13">
      <c r="H378" s="204"/>
      <c r="M378" s="204"/>
      <c r="R378" s="204"/>
    </row>
    <row r="379" spans="8:18" ht="13">
      <c r="H379" s="204"/>
      <c r="M379" s="204"/>
      <c r="R379" s="204"/>
    </row>
    <row r="380" spans="8:18" ht="13">
      <c r="H380" s="204"/>
      <c r="M380" s="204"/>
      <c r="R380" s="204"/>
    </row>
    <row r="381" spans="8:18" ht="13">
      <c r="H381" s="204"/>
      <c r="M381" s="204"/>
      <c r="R381" s="204"/>
    </row>
    <row r="382" spans="8:18" ht="13">
      <c r="H382" s="204"/>
      <c r="M382" s="204"/>
      <c r="R382" s="204"/>
    </row>
    <row r="383" spans="8:18" ht="13">
      <c r="H383" s="204"/>
      <c r="M383" s="204"/>
      <c r="R383" s="204"/>
    </row>
    <row r="384" spans="8:18" ht="13">
      <c r="H384" s="204"/>
      <c r="M384" s="204"/>
      <c r="R384" s="204"/>
    </row>
    <row r="385" spans="8:18" ht="13">
      <c r="H385" s="204"/>
      <c r="M385" s="204"/>
      <c r="R385" s="204"/>
    </row>
    <row r="386" spans="8:18" ht="13">
      <c r="H386" s="204"/>
      <c r="M386" s="204"/>
      <c r="R386" s="204"/>
    </row>
    <row r="387" spans="8:18" ht="13">
      <c r="H387" s="204"/>
      <c r="M387" s="204"/>
      <c r="R387" s="204"/>
    </row>
    <row r="388" spans="8:18" ht="13">
      <c r="H388" s="204"/>
      <c r="M388" s="204"/>
      <c r="R388" s="204"/>
    </row>
    <row r="389" spans="8:18" ht="13">
      <c r="H389" s="204"/>
      <c r="M389" s="204"/>
      <c r="R389" s="204"/>
    </row>
    <row r="390" spans="8:18" ht="13">
      <c r="H390" s="204"/>
      <c r="M390" s="204"/>
      <c r="R390" s="204"/>
    </row>
    <row r="391" spans="8:18" ht="13">
      <c r="H391" s="204"/>
      <c r="M391" s="204"/>
      <c r="R391" s="204"/>
    </row>
    <row r="392" spans="8:18" ht="13">
      <c r="H392" s="204"/>
      <c r="M392" s="204"/>
      <c r="R392" s="204"/>
    </row>
    <row r="393" spans="8:18" ht="13">
      <c r="H393" s="204"/>
      <c r="M393" s="204"/>
      <c r="R393" s="204"/>
    </row>
    <row r="394" spans="8:18" ht="13">
      <c r="H394" s="204"/>
      <c r="M394" s="204"/>
      <c r="R394" s="204"/>
    </row>
    <row r="395" spans="8:18" ht="13">
      <c r="H395" s="204"/>
      <c r="M395" s="204"/>
      <c r="R395" s="204"/>
    </row>
    <row r="396" spans="8:18" ht="13">
      <c r="H396" s="204"/>
      <c r="M396" s="204"/>
      <c r="R396" s="204"/>
    </row>
    <row r="397" spans="8:18" ht="13">
      <c r="H397" s="204"/>
      <c r="M397" s="204"/>
      <c r="R397" s="204"/>
    </row>
    <row r="398" spans="8:18" ht="13">
      <c r="H398" s="204"/>
      <c r="M398" s="204"/>
      <c r="R398" s="204"/>
    </row>
    <row r="399" spans="8:18" ht="13">
      <c r="H399" s="204"/>
      <c r="M399" s="204"/>
      <c r="R399" s="204"/>
    </row>
    <row r="400" spans="8:18" ht="13">
      <c r="H400" s="204"/>
      <c r="M400" s="204"/>
      <c r="R400" s="204"/>
    </row>
    <row r="401" spans="8:18" ht="13">
      <c r="H401" s="204"/>
      <c r="M401" s="204"/>
      <c r="R401" s="204"/>
    </row>
    <row r="402" spans="8:18" ht="13">
      <c r="H402" s="204"/>
      <c r="M402" s="204"/>
      <c r="R402" s="204"/>
    </row>
    <row r="403" spans="8:18" ht="13">
      <c r="H403" s="204"/>
      <c r="M403" s="204"/>
      <c r="R403" s="204"/>
    </row>
    <row r="404" spans="8:18" ht="13">
      <c r="H404" s="204"/>
      <c r="M404" s="204"/>
      <c r="R404" s="204"/>
    </row>
    <row r="405" spans="8:18" ht="13">
      <c r="H405" s="204"/>
      <c r="M405" s="204"/>
      <c r="R405" s="204"/>
    </row>
    <row r="406" spans="8:18" ht="13">
      <c r="H406" s="204"/>
      <c r="M406" s="204"/>
      <c r="R406" s="204"/>
    </row>
    <row r="407" spans="8:18" ht="13">
      <c r="H407" s="204"/>
      <c r="M407" s="204"/>
      <c r="R407" s="204"/>
    </row>
    <row r="408" spans="8:18" ht="13">
      <c r="H408" s="204"/>
      <c r="M408" s="204"/>
      <c r="R408" s="204"/>
    </row>
    <row r="409" spans="8:18" ht="13">
      <c r="H409" s="204"/>
      <c r="M409" s="204"/>
      <c r="R409" s="204"/>
    </row>
    <row r="410" spans="8:18" ht="13">
      <c r="H410" s="204"/>
      <c r="M410" s="204"/>
      <c r="R410" s="204"/>
    </row>
    <row r="411" spans="8:18" ht="13">
      <c r="H411" s="204"/>
      <c r="M411" s="204"/>
      <c r="R411" s="204"/>
    </row>
    <row r="412" spans="8:18" ht="13">
      <c r="H412" s="204"/>
      <c r="M412" s="204"/>
      <c r="R412" s="204"/>
    </row>
    <row r="413" spans="8:18" ht="13">
      <c r="H413" s="204"/>
      <c r="M413" s="204"/>
      <c r="R413" s="204"/>
    </row>
    <row r="414" spans="8:18" ht="13">
      <c r="H414" s="204"/>
      <c r="M414" s="204"/>
      <c r="R414" s="204"/>
    </row>
    <row r="415" spans="8:18" ht="13">
      <c r="H415" s="204"/>
      <c r="M415" s="204"/>
      <c r="R415" s="204"/>
    </row>
    <row r="416" spans="8:18" ht="13">
      <c r="H416" s="204"/>
      <c r="M416" s="204"/>
      <c r="R416" s="204"/>
    </row>
    <row r="417" spans="8:18" ht="13">
      <c r="H417" s="204"/>
      <c r="M417" s="204"/>
      <c r="R417" s="204"/>
    </row>
    <row r="418" spans="8:18" ht="13">
      <c r="H418" s="204"/>
      <c r="M418" s="204"/>
      <c r="R418" s="204"/>
    </row>
    <row r="419" spans="8:18" ht="13">
      <c r="H419" s="204"/>
      <c r="M419" s="204"/>
      <c r="R419" s="204"/>
    </row>
    <row r="420" spans="8:18" ht="13">
      <c r="H420" s="204"/>
      <c r="M420" s="204"/>
      <c r="R420" s="204"/>
    </row>
    <row r="421" spans="8:18" ht="13">
      <c r="H421" s="204"/>
      <c r="M421" s="204"/>
      <c r="R421" s="204"/>
    </row>
    <row r="422" spans="8:18" ht="13">
      <c r="H422" s="204"/>
      <c r="M422" s="204"/>
      <c r="R422" s="204"/>
    </row>
    <row r="423" spans="8:18" ht="13">
      <c r="H423" s="204"/>
      <c r="M423" s="204"/>
      <c r="R423" s="204"/>
    </row>
    <row r="424" spans="8:18" ht="13">
      <c r="H424" s="204"/>
      <c r="M424" s="204"/>
      <c r="R424" s="204"/>
    </row>
    <row r="425" spans="8:18" ht="13">
      <c r="H425" s="204"/>
      <c r="M425" s="204"/>
      <c r="R425" s="204"/>
    </row>
    <row r="426" spans="8:18" ht="13">
      <c r="H426" s="204"/>
      <c r="M426" s="204"/>
      <c r="R426" s="204"/>
    </row>
    <row r="427" spans="8:18" ht="13">
      <c r="H427" s="204"/>
      <c r="M427" s="204"/>
      <c r="R427" s="204"/>
    </row>
    <row r="428" spans="8:18" ht="13">
      <c r="H428" s="204"/>
      <c r="M428" s="204"/>
      <c r="R428" s="204"/>
    </row>
    <row r="429" spans="8:18" ht="13">
      <c r="H429" s="204"/>
      <c r="M429" s="204"/>
      <c r="R429" s="204"/>
    </row>
    <row r="430" spans="8:18" ht="13">
      <c r="H430" s="204"/>
      <c r="M430" s="204"/>
      <c r="R430" s="204"/>
    </row>
    <row r="431" spans="8:18" ht="13">
      <c r="H431" s="204"/>
      <c r="M431" s="204"/>
      <c r="R431" s="204"/>
    </row>
    <row r="432" spans="8:18" ht="13">
      <c r="H432" s="204"/>
      <c r="M432" s="204"/>
      <c r="R432" s="204"/>
    </row>
    <row r="433" spans="8:18" ht="13">
      <c r="H433" s="204"/>
      <c r="M433" s="204"/>
      <c r="R433" s="204"/>
    </row>
    <row r="434" spans="8:18" ht="13">
      <c r="H434" s="204"/>
      <c r="M434" s="204"/>
      <c r="R434" s="204"/>
    </row>
    <row r="435" spans="8:18" ht="13">
      <c r="H435" s="204"/>
      <c r="M435" s="204"/>
      <c r="R435" s="204"/>
    </row>
    <row r="436" spans="8:18" ht="13">
      <c r="H436" s="204"/>
      <c r="M436" s="204"/>
      <c r="R436" s="204"/>
    </row>
    <row r="437" spans="8:18" ht="13">
      <c r="H437" s="204"/>
      <c r="M437" s="204"/>
      <c r="R437" s="204"/>
    </row>
    <row r="438" spans="8:18" ht="13">
      <c r="H438" s="204"/>
      <c r="M438" s="204"/>
      <c r="R438" s="204"/>
    </row>
    <row r="439" spans="8:18" ht="13">
      <c r="H439" s="204"/>
      <c r="M439" s="204"/>
      <c r="R439" s="204"/>
    </row>
    <row r="440" spans="8:18" ht="13">
      <c r="H440" s="204"/>
      <c r="M440" s="204"/>
      <c r="R440" s="204"/>
    </row>
    <row r="441" spans="8:18" ht="13">
      <c r="H441" s="204"/>
      <c r="M441" s="204"/>
      <c r="R441" s="204"/>
    </row>
    <row r="442" spans="8:18" ht="13">
      <c r="H442" s="204"/>
      <c r="M442" s="204"/>
      <c r="R442" s="204"/>
    </row>
    <row r="443" spans="8:18" ht="13">
      <c r="H443" s="204"/>
      <c r="M443" s="204"/>
      <c r="R443" s="204"/>
    </row>
    <row r="444" spans="8:18" ht="13">
      <c r="H444" s="204"/>
      <c r="M444" s="204"/>
      <c r="R444" s="204"/>
    </row>
    <row r="445" spans="8:18" ht="13">
      <c r="H445" s="204"/>
      <c r="M445" s="204"/>
      <c r="R445" s="204"/>
    </row>
    <row r="446" spans="8:18" ht="13">
      <c r="H446" s="204"/>
      <c r="M446" s="204"/>
      <c r="R446" s="204"/>
    </row>
    <row r="447" spans="8:18" ht="13">
      <c r="H447" s="204"/>
      <c r="M447" s="204"/>
      <c r="R447" s="204"/>
    </row>
    <row r="448" spans="8:18" ht="13">
      <c r="H448" s="204"/>
      <c r="M448" s="204"/>
      <c r="R448" s="204"/>
    </row>
    <row r="449" spans="8:18" ht="13">
      <c r="H449" s="204"/>
      <c r="M449" s="204"/>
      <c r="R449" s="204"/>
    </row>
    <row r="450" spans="8:18" ht="13">
      <c r="H450" s="204"/>
      <c r="M450" s="204"/>
      <c r="R450" s="204"/>
    </row>
    <row r="451" spans="8:18" ht="13">
      <c r="H451" s="204"/>
      <c r="M451" s="204"/>
      <c r="R451" s="204"/>
    </row>
    <row r="452" spans="8:18" ht="13">
      <c r="H452" s="204"/>
      <c r="M452" s="204"/>
      <c r="R452" s="204"/>
    </row>
    <row r="453" spans="8:18" ht="13">
      <c r="H453" s="204"/>
      <c r="M453" s="204"/>
      <c r="R453" s="204"/>
    </row>
    <row r="454" spans="8:18" ht="13">
      <c r="H454" s="204"/>
      <c r="M454" s="204"/>
      <c r="R454" s="204"/>
    </row>
    <row r="455" spans="8:18" ht="13">
      <c r="H455" s="204"/>
      <c r="M455" s="204"/>
      <c r="R455" s="204"/>
    </row>
    <row r="456" spans="8:18" ht="13">
      <c r="H456" s="204"/>
      <c r="M456" s="204"/>
      <c r="R456" s="204"/>
    </row>
    <row r="457" spans="8:18" ht="13">
      <c r="H457" s="204"/>
      <c r="M457" s="204"/>
      <c r="R457" s="204"/>
    </row>
    <row r="458" spans="8:18" ht="13">
      <c r="H458" s="204"/>
      <c r="M458" s="204"/>
      <c r="R458" s="204"/>
    </row>
    <row r="459" spans="8:18" ht="13">
      <c r="H459" s="204"/>
      <c r="M459" s="204"/>
      <c r="R459" s="204"/>
    </row>
    <row r="460" spans="8:18" ht="13">
      <c r="H460" s="204"/>
      <c r="M460" s="204"/>
      <c r="R460" s="204"/>
    </row>
    <row r="461" spans="8:18" ht="13">
      <c r="H461" s="204"/>
      <c r="M461" s="204"/>
      <c r="R461" s="204"/>
    </row>
    <row r="462" spans="8:18" ht="13">
      <c r="H462" s="204"/>
      <c r="M462" s="204"/>
      <c r="R462" s="204"/>
    </row>
    <row r="463" spans="8:18" ht="13">
      <c r="H463" s="204"/>
      <c r="M463" s="204"/>
      <c r="R463" s="204"/>
    </row>
    <row r="464" spans="8:18" ht="13">
      <c r="H464" s="204"/>
      <c r="M464" s="204"/>
      <c r="R464" s="204"/>
    </row>
    <row r="465" spans="8:18" ht="13">
      <c r="H465" s="204"/>
      <c r="M465" s="204"/>
      <c r="R465" s="204"/>
    </row>
    <row r="466" spans="8:18" ht="13">
      <c r="H466" s="204"/>
      <c r="M466" s="204"/>
      <c r="R466" s="204"/>
    </row>
    <row r="467" spans="8:18" ht="13">
      <c r="H467" s="204"/>
      <c r="M467" s="204"/>
      <c r="R467" s="204"/>
    </row>
    <row r="468" spans="8:18" ht="13">
      <c r="H468" s="204"/>
      <c r="M468" s="204"/>
      <c r="R468" s="204"/>
    </row>
    <row r="469" spans="8:18" ht="13">
      <c r="H469" s="204"/>
      <c r="M469" s="204"/>
      <c r="R469" s="204"/>
    </row>
    <row r="470" spans="8:18" ht="13">
      <c r="H470" s="204"/>
      <c r="M470" s="204"/>
      <c r="R470" s="204"/>
    </row>
    <row r="471" spans="8:18" ht="13">
      <c r="H471" s="204"/>
      <c r="M471" s="204"/>
      <c r="R471" s="204"/>
    </row>
    <row r="472" spans="8:18" ht="13">
      <c r="H472" s="204"/>
      <c r="M472" s="204"/>
      <c r="R472" s="204"/>
    </row>
    <row r="473" spans="8:18" ht="13">
      <c r="H473" s="204"/>
      <c r="M473" s="204"/>
      <c r="R473" s="204"/>
    </row>
    <row r="474" spans="8:18" ht="13">
      <c r="H474" s="204"/>
      <c r="M474" s="204"/>
      <c r="R474" s="204"/>
    </row>
    <row r="475" spans="8:18" ht="13">
      <c r="H475" s="204"/>
      <c r="M475" s="204"/>
      <c r="R475" s="204"/>
    </row>
    <row r="476" spans="8:18" ht="13">
      <c r="H476" s="204"/>
      <c r="M476" s="204"/>
      <c r="R476" s="204"/>
    </row>
    <row r="477" spans="8:18" ht="13">
      <c r="H477" s="204"/>
      <c r="M477" s="204"/>
      <c r="R477" s="204"/>
    </row>
    <row r="478" spans="8:18" ht="13">
      <c r="H478" s="204"/>
      <c r="M478" s="204"/>
      <c r="R478" s="204"/>
    </row>
    <row r="479" spans="8:18" ht="13">
      <c r="H479" s="204"/>
      <c r="M479" s="204"/>
      <c r="R479" s="204"/>
    </row>
    <row r="480" spans="8:18" ht="13">
      <c r="H480" s="204"/>
      <c r="M480" s="204"/>
      <c r="R480" s="204"/>
    </row>
    <row r="481" spans="8:18" ht="13">
      <c r="H481" s="204"/>
      <c r="M481" s="204"/>
      <c r="R481" s="204"/>
    </row>
    <row r="482" spans="8:18" ht="13">
      <c r="H482" s="204"/>
      <c r="M482" s="204"/>
      <c r="R482" s="204"/>
    </row>
    <row r="483" spans="8:18" ht="13">
      <c r="H483" s="204"/>
      <c r="M483" s="204"/>
      <c r="R483" s="204"/>
    </row>
    <row r="484" spans="8:18" ht="13">
      <c r="H484" s="204"/>
      <c r="M484" s="204"/>
      <c r="R484" s="204"/>
    </row>
    <row r="485" spans="8:18" ht="13">
      <c r="H485" s="204"/>
      <c r="M485" s="204"/>
      <c r="R485" s="204"/>
    </row>
    <row r="486" spans="8:18" ht="13">
      <c r="H486" s="204"/>
      <c r="M486" s="204"/>
      <c r="R486" s="204"/>
    </row>
    <row r="487" spans="8:18" ht="13">
      <c r="H487" s="204"/>
      <c r="M487" s="204"/>
      <c r="R487" s="204"/>
    </row>
    <row r="488" spans="8:18" ht="13">
      <c r="H488" s="204"/>
      <c r="M488" s="204"/>
      <c r="R488" s="204"/>
    </row>
    <row r="489" spans="8:18" ht="13">
      <c r="H489" s="204"/>
      <c r="M489" s="204"/>
      <c r="R489" s="204"/>
    </row>
    <row r="490" spans="8:18" ht="13">
      <c r="H490" s="204"/>
      <c r="M490" s="204"/>
      <c r="R490" s="204"/>
    </row>
    <row r="491" spans="8:18" ht="13">
      <c r="H491" s="204"/>
      <c r="M491" s="204"/>
      <c r="R491" s="204"/>
    </row>
    <row r="492" spans="8:18" ht="13">
      <c r="H492" s="204"/>
      <c r="M492" s="204"/>
      <c r="R492" s="204"/>
    </row>
    <row r="493" spans="8:18" ht="13">
      <c r="H493" s="204"/>
      <c r="M493" s="204"/>
      <c r="R493" s="204"/>
    </row>
    <row r="494" spans="8:18" ht="13">
      <c r="H494" s="204"/>
      <c r="M494" s="204"/>
      <c r="R494" s="204"/>
    </row>
    <row r="495" spans="8:18" ht="13">
      <c r="H495" s="204"/>
      <c r="M495" s="204"/>
      <c r="R495" s="204"/>
    </row>
    <row r="496" spans="8:18" ht="13">
      <c r="H496" s="204"/>
      <c r="M496" s="204"/>
      <c r="R496" s="204"/>
    </row>
    <row r="497" spans="8:18" ht="13">
      <c r="H497" s="204"/>
      <c r="M497" s="204"/>
      <c r="R497" s="204"/>
    </row>
    <row r="498" spans="8:18" ht="13">
      <c r="H498" s="204"/>
      <c r="M498" s="204"/>
      <c r="R498" s="204"/>
    </row>
    <row r="499" spans="8:18" ht="13">
      <c r="H499" s="204"/>
      <c r="M499" s="204"/>
      <c r="R499" s="204"/>
    </row>
    <row r="500" spans="8:18" ht="13">
      <c r="H500" s="204"/>
      <c r="M500" s="204"/>
      <c r="R500" s="204"/>
    </row>
    <row r="501" spans="8:18" ht="13">
      <c r="H501" s="204"/>
      <c r="M501" s="204"/>
      <c r="R501" s="204"/>
    </row>
    <row r="502" spans="8:18" ht="13">
      <c r="H502" s="204"/>
      <c r="M502" s="204"/>
      <c r="R502" s="204"/>
    </row>
    <row r="503" spans="8:18" ht="13">
      <c r="H503" s="204"/>
      <c r="M503" s="204"/>
      <c r="R503" s="204"/>
    </row>
    <row r="504" spans="8:18" ht="13">
      <c r="H504" s="204"/>
      <c r="M504" s="204"/>
      <c r="R504" s="204"/>
    </row>
    <row r="505" spans="8:18" ht="13">
      <c r="H505" s="204"/>
      <c r="M505" s="204"/>
      <c r="R505" s="204"/>
    </row>
    <row r="506" spans="8:18" ht="13">
      <c r="H506" s="204"/>
      <c r="M506" s="204"/>
      <c r="R506" s="204"/>
    </row>
    <row r="507" spans="8:18" ht="13">
      <c r="H507" s="204"/>
      <c r="M507" s="204"/>
      <c r="R507" s="204"/>
    </row>
    <row r="508" spans="8:18" ht="13">
      <c r="H508" s="204"/>
      <c r="M508" s="204"/>
      <c r="R508" s="204"/>
    </row>
    <row r="509" spans="8:18" ht="13"/>
    <row r="510" spans="8:18" ht="13"/>
    <row r="511" spans="8:18" ht="13"/>
    <row r="512" spans="8:18"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row r="1001" ht="13"/>
    <row r="1002" ht="13"/>
    <row r="1003" ht="13"/>
    <row r="1004" ht="13"/>
    <row r="1005" ht="13"/>
    <row r="1006" ht="13"/>
    <row r="1007" ht="13"/>
    <row r="1008" ht="13"/>
    <row r="1009" ht="13"/>
    <row r="1010" ht="13"/>
    <row r="1011" ht="13"/>
    <row r="1012" ht="13"/>
    <row r="1013" ht="13"/>
    <row r="1014" ht="13"/>
    <row r="1015" ht="13"/>
    <row r="1016" ht="13"/>
    <row r="1017" ht="13"/>
    <row r="1018" ht="13"/>
    <row r="1019" ht="13"/>
    <row r="1020" ht="13"/>
    <row r="1021" ht="13"/>
    <row r="1022" ht="13"/>
    <row r="1023" ht="13"/>
    <row r="1024" ht="13"/>
    <row r="1025" ht="13"/>
    <row r="1026" ht="13"/>
    <row r="1027" ht="13"/>
    <row r="1028" ht="13"/>
    <row r="1029" ht="13"/>
    <row r="1030" ht="13"/>
    <row r="1031" ht="13"/>
    <row r="1032" ht="13"/>
    <row r="1033" ht="13"/>
    <row r="1034" ht="13"/>
    <row r="1035" ht="13"/>
    <row r="1036" ht="13"/>
    <row r="1037" ht="13"/>
    <row r="1038" ht="13"/>
    <row r="1039" ht="13"/>
    <row r="1040" ht="13"/>
    <row r="1041" ht="13"/>
    <row r="1042" ht="13"/>
    <row r="1043" ht="13"/>
    <row r="1044" ht="13"/>
    <row r="1045" ht="13"/>
    <row r="1046" ht="13"/>
    <row r="1047" ht="13"/>
    <row r="1048" ht="13"/>
    <row r="1049" ht="13"/>
    <row r="1050" ht="13"/>
    <row r="1051" ht="13"/>
    <row r="1052" ht="13"/>
    <row r="1053" ht="13"/>
    <row r="1054" ht="13"/>
    <row r="1055" ht="13"/>
    <row r="1056" ht="13"/>
    <row r="1057" ht="13"/>
    <row r="1058" ht="13"/>
    <row r="1059" ht="13"/>
    <row r="1060" ht="13"/>
    <row r="1061" ht="13"/>
    <row r="1062" ht="13"/>
    <row r="1063" ht="13"/>
    <row r="1064" ht="13"/>
    <row r="1065" ht="13"/>
    <row r="1066" ht="13"/>
    <row r="1067" ht="13"/>
    <row r="1068" ht="13"/>
    <row r="1069" ht="13"/>
    <row r="1070" ht="13"/>
    <row r="1071" ht="13"/>
    <row r="1072" ht="13"/>
    <row r="1073" ht="13"/>
    <row r="1074" ht="13"/>
    <row r="1075" ht="13"/>
    <row r="1076" ht="13"/>
    <row r="1077" ht="13"/>
    <row r="1078" ht="13"/>
    <row r="1079" ht="13"/>
    <row r="1080" ht="13"/>
    <row r="1081" ht="13"/>
    <row r="1082" ht="13"/>
    <row r="1083" ht="13"/>
    <row r="1084" ht="13"/>
    <row r="1085" ht="13"/>
    <row r="1086" ht="13"/>
    <row r="1087" ht="13"/>
    <row r="1088" ht="13"/>
    <row r="1089" ht="13"/>
    <row r="1090" ht="13"/>
    <row r="1091" ht="13"/>
    <row r="1092" ht="13"/>
    <row r="1093" ht="13"/>
    <row r="1094" ht="13"/>
    <row r="1095" ht="13"/>
    <row r="1096" ht="13"/>
    <row r="1097" ht="13"/>
    <row r="1098" ht="13"/>
    <row r="1099" ht="13"/>
    <row r="1100" ht="13"/>
    <row r="1101" ht="13"/>
    <row r="1102" ht="13"/>
    <row r="1103" ht="13"/>
    <row r="1104" ht="13"/>
    <row r="1105" ht="13"/>
    <row r="1106" ht="13"/>
    <row r="1107" ht="13"/>
    <row r="1108" ht="13"/>
    <row r="1109" ht="13"/>
    <row r="1110" ht="13"/>
    <row r="1111" ht="13"/>
    <row r="1112" ht="13"/>
    <row r="1113" ht="13"/>
    <row r="1114" ht="13"/>
    <row r="1115" ht="13"/>
    <row r="1116" ht="13"/>
    <row r="1117" ht="13"/>
    <row r="1118" ht="13"/>
    <row r="1119" ht="13"/>
    <row r="1120" ht="13"/>
    <row r="1121" ht="13"/>
    <row r="1122" ht="13"/>
    <row r="1123" ht="13"/>
    <row r="1124" ht="13"/>
    <row r="1125" ht="13"/>
    <row r="1126" ht="13"/>
    <row r="1127" ht="13"/>
    <row r="1128" ht="13"/>
    <row r="1129" ht="13"/>
    <row r="1130" ht="13"/>
    <row r="1131" ht="13"/>
    <row r="1132" ht="13"/>
    <row r="1133" ht="13"/>
    <row r="1134" ht="13"/>
    <row r="1135" ht="13"/>
    <row r="1136" ht="13"/>
    <row r="1137" ht="13"/>
    <row r="1138" ht="13"/>
    <row r="1139" ht="13"/>
    <row r="1140" ht="13"/>
    <row r="1141" ht="13"/>
    <row r="1142" ht="13"/>
    <row r="1143" ht="13"/>
    <row r="1144" ht="13"/>
    <row r="1145" ht="13"/>
    <row r="1146" ht="13"/>
    <row r="1147" ht="13"/>
    <row r="1148" ht="13"/>
    <row r="1149" ht="13"/>
    <row r="1150" ht="13"/>
    <row r="1151" ht="13"/>
    <row r="1152" ht="13"/>
    <row r="1153" ht="13"/>
    <row r="1154" ht="13"/>
    <row r="1155" ht="13"/>
    <row r="1156" ht="13"/>
    <row r="1157" ht="13"/>
    <row r="1158" ht="13"/>
    <row r="1159" ht="13"/>
    <row r="1160" ht="13"/>
    <row r="1161" ht="13"/>
    <row r="1162" ht="13"/>
    <row r="1163" ht="13"/>
    <row r="1164" ht="13"/>
    <row r="1165" ht="13"/>
    <row r="1166" ht="13"/>
    <row r="1167" ht="13"/>
    <row r="1168" ht="13"/>
    <row r="1169" ht="13"/>
    <row r="1170" ht="13"/>
    <row r="1171" ht="13"/>
    <row r="1172" ht="13"/>
    <row r="1173" ht="13"/>
    <row r="1174" ht="13"/>
    <row r="1175" ht="13"/>
    <row r="1176" ht="13"/>
    <row r="1177" ht="13"/>
    <row r="1178" ht="13"/>
    <row r="1179" ht="13"/>
    <row r="1180" ht="13"/>
    <row r="1181" ht="13"/>
    <row r="1182" ht="13"/>
    <row r="1183" ht="13"/>
    <row r="1184" ht="13"/>
    <row r="1185" ht="13"/>
    <row r="1186" ht="13"/>
    <row r="1187" ht="13"/>
    <row r="1188" ht="13"/>
    <row r="1189" ht="13"/>
    <row r="1190" ht="13"/>
    <row r="1191" ht="13"/>
    <row r="1192" ht="13"/>
    <row r="1193" ht="13"/>
    <row r="1194" ht="13"/>
    <row r="1195" ht="13"/>
    <row r="1196" ht="13"/>
    <row r="1197" ht="13"/>
    <row r="1198" ht="13"/>
    <row r="1199" ht="13"/>
    <row r="1200" ht="13"/>
    <row r="1201" ht="13"/>
    <row r="1202" ht="13"/>
    <row r="1203" ht="13"/>
    <row r="1204" ht="13"/>
    <row r="1205" ht="13"/>
    <row r="1206" ht="13"/>
    <row r="1207" ht="13"/>
    <row r="1208" ht="13"/>
    <row r="1209" ht="13"/>
    <row r="1210" ht="13"/>
    <row r="1211" ht="13"/>
    <row r="1212" ht="13"/>
    <row r="1213" ht="13"/>
    <row r="1214" ht="13"/>
    <row r="1215" ht="13"/>
    <row r="1216" ht="13"/>
    <row r="1217" ht="13"/>
    <row r="1218" ht="13"/>
    <row r="1219" ht="13"/>
    <row r="1220" ht="13"/>
    <row r="1221" ht="13"/>
    <row r="1222" ht="13"/>
    <row r="1223" ht="13"/>
    <row r="1224" ht="13"/>
    <row r="1225" ht="13"/>
    <row r="1226" ht="13"/>
    <row r="1227" ht="13"/>
    <row r="1228" ht="13"/>
    <row r="1229" ht="13"/>
    <row r="1230" ht="13"/>
    <row r="1231" ht="13"/>
    <row r="1232" ht="13"/>
    <row r="1233" ht="13"/>
    <row r="1234" ht="13"/>
    <row r="1235" ht="13"/>
    <row r="1236" ht="13"/>
    <row r="1237" ht="13"/>
    <row r="1238" ht="13"/>
    <row r="1239" ht="13"/>
    <row r="1240" ht="13"/>
    <row r="1241" ht="13"/>
    <row r="1242" ht="13"/>
    <row r="1243" ht="13"/>
    <row r="1244" ht="13"/>
    <row r="1245" ht="13"/>
    <row r="1246" ht="13"/>
    <row r="1247" ht="13"/>
    <row r="1248" ht="13"/>
    <row r="1249" ht="13"/>
    <row r="1250" ht="13"/>
    <row r="1251" ht="13"/>
    <row r="1252" ht="13"/>
    <row r="1253" ht="13"/>
    <row r="1254" ht="13"/>
    <row r="1255" ht="13"/>
    <row r="1256" ht="13"/>
    <row r="1257" ht="13"/>
    <row r="1258" ht="13"/>
    <row r="1259" ht="13"/>
    <row r="1260" ht="13"/>
    <row r="1261" ht="13"/>
    <row r="1262" ht="13"/>
    <row r="1263" ht="13"/>
    <row r="1264" ht="13"/>
    <row r="1265" ht="13"/>
    <row r="1266" ht="13"/>
    <row r="1267" ht="13"/>
    <row r="1268" ht="13"/>
    <row r="1269" ht="13"/>
    <row r="1270" ht="13"/>
    <row r="1271" ht="13"/>
    <row r="1272" ht="13"/>
    <row r="1273" ht="13"/>
    <row r="1274" ht="13"/>
    <row r="1275" ht="13"/>
    <row r="1276" ht="13"/>
    <row r="1277" ht="13"/>
    <row r="1278" ht="13"/>
    <row r="1279" ht="13"/>
    <row r="1280" ht="13"/>
    <row r="1281" ht="13"/>
    <row r="1282" ht="13"/>
    <row r="1283" ht="13"/>
    <row r="1284" ht="13"/>
    <row r="1285" ht="13"/>
    <row r="1286" ht="13"/>
    <row r="1287" ht="13"/>
    <row r="1288" ht="13"/>
    <row r="1289" ht="13"/>
    <row r="1290" ht="13"/>
    <row r="1291" ht="13"/>
    <row r="1292" ht="13"/>
    <row r="1293" ht="13"/>
    <row r="1294" ht="13"/>
    <row r="1295" ht="13"/>
    <row r="1296" ht="13"/>
    <row r="1297" ht="13"/>
    <row r="1298" ht="13"/>
    <row r="1299" ht="13"/>
    <row r="1300" ht="13"/>
    <row r="1301" ht="13"/>
    <row r="1302" ht="13"/>
    <row r="1303" ht="13"/>
    <row r="1304" ht="13"/>
    <row r="1305" ht="13"/>
    <row r="1306" ht="13"/>
    <row r="1307" ht="13"/>
    <row r="1308" ht="13"/>
    <row r="1309" ht="13"/>
    <row r="1310" ht="13"/>
    <row r="1311" ht="13"/>
    <row r="1312" ht="13"/>
    <row r="1313" ht="13"/>
    <row r="1314" ht="13"/>
    <row r="1315" ht="13"/>
    <row r="1316" ht="13"/>
    <row r="1317" ht="13"/>
    <row r="1318" ht="13"/>
    <row r="1319" ht="13"/>
    <row r="1320" ht="13"/>
    <row r="1321" ht="13"/>
    <row r="1322" ht="13"/>
    <row r="1323" ht="13"/>
    <row r="1324" ht="13"/>
    <row r="1325" ht="13"/>
    <row r="1326" ht="13"/>
    <row r="1327" ht="13"/>
    <row r="1328" ht="13"/>
    <row r="1329" ht="13"/>
    <row r="1330" ht="13"/>
    <row r="1331" ht="13"/>
    <row r="1332" ht="13"/>
    <row r="1333" ht="13"/>
    <row r="1334" ht="13"/>
    <row r="1335" ht="13"/>
    <row r="1336" ht="13"/>
    <row r="1337" ht="13"/>
    <row r="1338" ht="13"/>
    <row r="1339" ht="13"/>
    <row r="1340" ht="13"/>
    <row r="1341" ht="13"/>
    <row r="1342" ht="13"/>
    <row r="1343" ht="13"/>
    <row r="1344" ht="13"/>
    <row r="1345" ht="13"/>
    <row r="1346" ht="13"/>
    <row r="1347" ht="13"/>
    <row r="1348" ht="13"/>
    <row r="1349" ht="13"/>
    <row r="1350" ht="13"/>
    <row r="1351" ht="13"/>
    <row r="1352" ht="13"/>
    <row r="1353" ht="13"/>
    <row r="1354" ht="13"/>
    <row r="1355" ht="13"/>
    <row r="1356" ht="13"/>
    <row r="1357" ht="13"/>
    <row r="1358" ht="13"/>
    <row r="1359" ht="13"/>
    <row r="1360" ht="13"/>
    <row r="1361" ht="13"/>
    <row r="1362" ht="13"/>
    <row r="1363" ht="13"/>
    <row r="1364" ht="13"/>
    <row r="1365" ht="13"/>
    <row r="1366" ht="13"/>
    <row r="1367" ht="13"/>
    <row r="1368" ht="13"/>
    <row r="1369" ht="13"/>
    <row r="1370" ht="13"/>
    <row r="1371" ht="13"/>
    <row r="1372" ht="13"/>
    <row r="1373" ht="13"/>
    <row r="1374" ht="13"/>
    <row r="1375" ht="13"/>
    <row r="1376" ht="13"/>
    <row r="1377" ht="13"/>
    <row r="1378" ht="13"/>
    <row r="1379" ht="13"/>
    <row r="1380" ht="13"/>
    <row r="1381" ht="13"/>
    <row r="1382" ht="13"/>
    <row r="1383" ht="13"/>
    <row r="1384" ht="13"/>
    <row r="1385" ht="13"/>
    <row r="1386" ht="13"/>
    <row r="1387" ht="13"/>
    <row r="1388" ht="13"/>
    <row r="1389" ht="13"/>
    <row r="1390" ht="13"/>
    <row r="1391" ht="13"/>
    <row r="1392" ht="13"/>
    <row r="1393" ht="13"/>
    <row r="1394" ht="13"/>
    <row r="1395" ht="13"/>
    <row r="1396" ht="13"/>
    <row r="1397" ht="13"/>
    <row r="1398" ht="13"/>
    <row r="1399" ht="13"/>
    <row r="1400" ht="13"/>
    <row r="1401" ht="13"/>
    <row r="1402" ht="13"/>
    <row r="1403" ht="13"/>
    <row r="1404" ht="13"/>
    <row r="1405" ht="13"/>
    <row r="1406" ht="13"/>
    <row r="1407" ht="13"/>
    <row r="1408" ht="13"/>
    <row r="1409" ht="13"/>
    <row r="1410" ht="13"/>
    <row r="1411" ht="13"/>
    <row r="1412" ht="13"/>
    <row r="1413" ht="13"/>
    <row r="1414" ht="13"/>
    <row r="1415" ht="13"/>
    <row r="1416" ht="13"/>
    <row r="1417" ht="13"/>
    <row r="1418" ht="13"/>
    <row r="1419" ht="13"/>
    <row r="1420" ht="13"/>
    <row r="1421" ht="13"/>
    <row r="1422" ht="13"/>
    <row r="1423" ht="13"/>
    <row r="1424" ht="13"/>
    <row r="1425" ht="13"/>
    <row r="1426" ht="13"/>
    <row r="1427" ht="13"/>
    <row r="1428" ht="13"/>
    <row r="1429" ht="13"/>
    <row r="1430" ht="13"/>
    <row r="1431" ht="13"/>
    <row r="1432" ht="13"/>
    <row r="1433" ht="13"/>
    <row r="1434" ht="13"/>
    <row r="1435" ht="13"/>
    <row r="1436" ht="13"/>
    <row r="1437" ht="13"/>
    <row r="1438" ht="13"/>
    <row r="1439" ht="13"/>
    <row r="1440" ht="13"/>
    <row r="1441" ht="13"/>
    <row r="1442" ht="13"/>
    <row r="1443" ht="13"/>
    <row r="1444" ht="13"/>
    <row r="1445" ht="13"/>
    <row r="1446" ht="13"/>
    <row r="1447" ht="13"/>
    <row r="1448" ht="13"/>
    <row r="1449" ht="13"/>
    <row r="1450" ht="13"/>
    <row r="1451" ht="13"/>
    <row r="1452" ht="13"/>
    <row r="1453" ht="13"/>
    <row r="1454" ht="13"/>
    <row r="1455" ht="13"/>
    <row r="1456" ht="13"/>
    <row r="1457" ht="13"/>
    <row r="1458" ht="13"/>
    <row r="1459" ht="13"/>
    <row r="1460" ht="13"/>
    <row r="1461" ht="13"/>
    <row r="1462" ht="13"/>
    <row r="1463" ht="13"/>
    <row r="1464" ht="13"/>
    <row r="1465" ht="13"/>
    <row r="1466" ht="13"/>
    <row r="1467" ht="13"/>
    <row r="1468" ht="13"/>
    <row r="1469" ht="13"/>
    <row r="1470" ht="13"/>
    <row r="1471" ht="13"/>
    <row r="1472" ht="13"/>
    <row r="1473" ht="13"/>
    <row r="1474" ht="13"/>
    <row r="1475" ht="13"/>
    <row r="1476" ht="13"/>
    <row r="1477" ht="13"/>
    <row r="1478" ht="13"/>
    <row r="1479" ht="13"/>
    <row r="1480" ht="13"/>
    <row r="1481" ht="13"/>
    <row r="1482" ht="13"/>
    <row r="1483" ht="13"/>
    <row r="1484" ht="13"/>
    <row r="1485" ht="13"/>
    <row r="1486" ht="13"/>
    <row r="1487" ht="13"/>
    <row r="1488" ht="13"/>
    <row r="1489" ht="13"/>
    <row r="1490" ht="13"/>
    <row r="1491" ht="13"/>
    <row r="1492" ht="13"/>
    <row r="1493" ht="13"/>
    <row r="1494" ht="13"/>
    <row r="1495" ht="13"/>
    <row r="1496" ht="13"/>
    <row r="1497" ht="13"/>
    <row r="1498" ht="13"/>
    <row r="1499" ht="13"/>
    <row r="1500" ht="13"/>
    <row r="1501" ht="13"/>
    <row r="1502" ht="13"/>
    <row r="1503" ht="13"/>
    <row r="1504" ht="13"/>
    <row r="1505" ht="13"/>
    <row r="1506" ht="13"/>
    <row r="1507" ht="13"/>
    <row r="1508" ht="13"/>
    <row r="1509" ht="13"/>
    <row r="1510" ht="13"/>
    <row r="1511" ht="13"/>
    <row r="1512" ht="13"/>
    <row r="1513" ht="13"/>
    <row r="1514" ht="13"/>
    <row r="1515" ht="13"/>
    <row r="1516" ht="13"/>
    <row r="1517" ht="13"/>
    <row r="1518" ht="13"/>
    <row r="1519" ht="13"/>
    <row r="1520" ht="13"/>
    <row r="1521" ht="13"/>
    <row r="1522" ht="13"/>
    <row r="1523" ht="13"/>
    <row r="1524" ht="13"/>
    <row r="1525" ht="13"/>
    <row r="1526" ht="13"/>
    <row r="1527" ht="13"/>
    <row r="1528" ht="13"/>
    <row r="1529" ht="13"/>
    <row r="1530" ht="13"/>
    <row r="1531" ht="13"/>
    <row r="1532" ht="13"/>
    <row r="1533" ht="13"/>
    <row r="1534" ht="13"/>
    <row r="1535" ht="13"/>
    <row r="1536" ht="13"/>
    <row r="1537" ht="13"/>
    <row r="1538" ht="13"/>
    <row r="1539" ht="13"/>
    <row r="1540" ht="13"/>
    <row r="1541" ht="13"/>
    <row r="1542" ht="13"/>
    <row r="1543" ht="13"/>
    <row r="1544" ht="13"/>
    <row r="1545" ht="13"/>
    <row r="1546" ht="13"/>
    <row r="1547" ht="13"/>
    <row r="1548" ht="13"/>
    <row r="1549" ht="13"/>
    <row r="1550" ht="13"/>
    <row r="1551" ht="13"/>
    <row r="1552" ht="13"/>
    <row r="1553" ht="13"/>
    <row r="1554" ht="13"/>
    <row r="1555" ht="13"/>
    <row r="1556" ht="13"/>
    <row r="1557" ht="13"/>
    <row r="1558" ht="13"/>
    <row r="1559" ht="13"/>
    <row r="1560" ht="13"/>
    <row r="1561" ht="13"/>
    <row r="1562" ht="13"/>
    <row r="1563" ht="13"/>
    <row r="1564" ht="13"/>
    <row r="1565" ht="13"/>
    <row r="1566" ht="13"/>
    <row r="1567" ht="13"/>
    <row r="1568" ht="13"/>
    <row r="1569" ht="13"/>
    <row r="1570" ht="13"/>
    <row r="1571" ht="13"/>
    <row r="1572" ht="13"/>
    <row r="1573" ht="13"/>
    <row r="1574" ht="13"/>
    <row r="1575" ht="13"/>
    <row r="1576" ht="13"/>
    <row r="1577" ht="13"/>
    <row r="1578" ht="13"/>
    <row r="1579" ht="13"/>
    <row r="1580" ht="13"/>
    <row r="1581" ht="13"/>
    <row r="1582" ht="13"/>
    <row r="1583" ht="13"/>
    <row r="1584" ht="13"/>
    <row r="1585" ht="13"/>
    <row r="1586" ht="13"/>
    <row r="1587" ht="13"/>
    <row r="1588" ht="13"/>
    <row r="1589" ht="13"/>
    <row r="1590" ht="13"/>
    <row r="1591" ht="13"/>
    <row r="1592" ht="13"/>
    <row r="1593" ht="13"/>
    <row r="1594" ht="13"/>
    <row r="1595" ht="13"/>
    <row r="1596" ht="13"/>
    <row r="1597" ht="13"/>
    <row r="1598" ht="13"/>
    <row r="1599" ht="13"/>
    <row r="1600" ht="13"/>
    <row r="1601" ht="13"/>
    <row r="1602" ht="13"/>
    <row r="1603" ht="13"/>
    <row r="1604" ht="13"/>
    <row r="1605" ht="13"/>
    <row r="1606" ht="13"/>
    <row r="1607" ht="13"/>
    <row r="1608" ht="13"/>
    <row r="1609" ht="13"/>
    <row r="1610" ht="13"/>
    <row r="1611" ht="13"/>
    <row r="1612" ht="13"/>
    <row r="1613" ht="13"/>
    <row r="1614" ht="13"/>
    <row r="1615" ht="13"/>
    <row r="1616" ht="13"/>
    <row r="1617" ht="13"/>
    <row r="1618" ht="13"/>
    <row r="1619" ht="13"/>
    <row r="1620" ht="13"/>
    <row r="1621" ht="13"/>
    <row r="1622" ht="13"/>
    <row r="1623" ht="13"/>
    <row r="1624" ht="13"/>
    <row r="1625" ht="13"/>
    <row r="1626" ht="13"/>
    <row r="1627" ht="13"/>
    <row r="1628" ht="13"/>
    <row r="1629" ht="13"/>
    <row r="1630" ht="13"/>
    <row r="1631" ht="13"/>
    <row r="1632" ht="13"/>
    <row r="1633" ht="13"/>
    <row r="1634" ht="13"/>
    <row r="1635" ht="13"/>
    <row r="1636" ht="13"/>
    <row r="1637" ht="13"/>
    <row r="1638" ht="13"/>
    <row r="1639" ht="13"/>
    <row r="1640" ht="13"/>
    <row r="1641" ht="13"/>
    <row r="1642" ht="13"/>
    <row r="1643" ht="13"/>
    <row r="1644" ht="13"/>
    <row r="1645" ht="13"/>
    <row r="1646" ht="13"/>
    <row r="1647" ht="13"/>
    <row r="1648" ht="13"/>
    <row r="1649" ht="13"/>
    <row r="1650" ht="13"/>
    <row r="1651" ht="13"/>
    <row r="1652" ht="13"/>
    <row r="1653" ht="13"/>
    <row r="1654" ht="13"/>
    <row r="1655" ht="13"/>
    <row r="1656" ht="13"/>
    <row r="1657" ht="13"/>
    <row r="1658" ht="13"/>
    <row r="1659" ht="13"/>
    <row r="1660" ht="13"/>
    <row r="1661" ht="13"/>
    <row r="1662" ht="13"/>
    <row r="1663" ht="13"/>
    <row r="1664" ht="13"/>
    <row r="1665" ht="13"/>
    <row r="1666" ht="13"/>
    <row r="1667" ht="13"/>
    <row r="1668" ht="13"/>
    <row r="1669" ht="13"/>
    <row r="1670" ht="13"/>
    <row r="1671" ht="13"/>
    <row r="1672" ht="13"/>
    <row r="1673" ht="13"/>
    <row r="1674" ht="13"/>
    <row r="1675" ht="13"/>
    <row r="1676" ht="13"/>
    <row r="1677" ht="13"/>
    <row r="1678" ht="13"/>
    <row r="1679" ht="13"/>
    <row r="1680" ht="13"/>
    <row r="1681" ht="13"/>
    <row r="1682" ht="13"/>
    <row r="1683" ht="13"/>
    <row r="1684" ht="13"/>
    <row r="1685" ht="13"/>
    <row r="1686" ht="13"/>
    <row r="1687" ht="13"/>
    <row r="1688" ht="13"/>
    <row r="1689" ht="13"/>
    <row r="1690" ht="13"/>
    <row r="1691" ht="13"/>
    <row r="1692" ht="13"/>
    <row r="1693" ht="13"/>
    <row r="1694" ht="13"/>
    <row r="1695" ht="13"/>
    <row r="1696" ht="13"/>
    <row r="1697" ht="13"/>
    <row r="1698" ht="13"/>
    <row r="1699" ht="13"/>
    <row r="1700" ht="13"/>
    <row r="1701" ht="13"/>
    <row r="1702" ht="13"/>
    <row r="1703" ht="13"/>
    <row r="1704" ht="13"/>
    <row r="1705" ht="13"/>
    <row r="1706" ht="13"/>
    <row r="1707" ht="13"/>
    <row r="1708" ht="13"/>
    <row r="1709" ht="13"/>
    <row r="1710" ht="13"/>
    <row r="1711" ht="13"/>
    <row r="1712" ht="13"/>
    <row r="1713" ht="13"/>
    <row r="1714" ht="13"/>
    <row r="1715" ht="13"/>
    <row r="1716" ht="13"/>
    <row r="1717" ht="13"/>
    <row r="1718" ht="13"/>
    <row r="1719" ht="13"/>
    <row r="1720" ht="13"/>
    <row r="1721" ht="13"/>
    <row r="1722" ht="13"/>
    <row r="1723" ht="13"/>
    <row r="1724" ht="13"/>
    <row r="1725" ht="13"/>
    <row r="1726" ht="13"/>
    <row r="1727" ht="13"/>
    <row r="1728" ht="13"/>
    <row r="1729" ht="13"/>
    <row r="1730" ht="13"/>
    <row r="1731" ht="13"/>
    <row r="1732" ht="13"/>
    <row r="1733" ht="13"/>
    <row r="1734" ht="13"/>
    <row r="1735" ht="13"/>
    <row r="1736" ht="13"/>
    <row r="1737" ht="13"/>
    <row r="1738" ht="13"/>
    <row r="1739" ht="13"/>
    <row r="1740" ht="13"/>
    <row r="1741" ht="13"/>
    <row r="1742" ht="13"/>
    <row r="1743" ht="13"/>
    <row r="1744" ht="13"/>
    <row r="1745" ht="13"/>
    <row r="1746" ht="13"/>
    <row r="1747" ht="13"/>
    <row r="1748" ht="13"/>
    <row r="1749" ht="13"/>
    <row r="1750" ht="13"/>
    <row r="1751" ht="13"/>
    <row r="1752" ht="13"/>
    <row r="1753" ht="13"/>
    <row r="1754" ht="13"/>
    <row r="1755" ht="13"/>
    <row r="1756" ht="13"/>
    <row r="1757" ht="13"/>
    <row r="1758" ht="13"/>
    <row r="1759" ht="13"/>
    <row r="1760" ht="13"/>
    <row r="1761" ht="13"/>
    <row r="1762" ht="13"/>
    <row r="1763" ht="13"/>
    <row r="1764" ht="13"/>
    <row r="1765" ht="13"/>
    <row r="1766" ht="13"/>
    <row r="1767" ht="13"/>
    <row r="1768" ht="13"/>
    <row r="1769" ht="13"/>
    <row r="1770" ht="13"/>
    <row r="1771" ht="13"/>
    <row r="1772" ht="13"/>
    <row r="1773" ht="13"/>
    <row r="1774" ht="13"/>
    <row r="1775" ht="13"/>
    <row r="1776" ht="13"/>
    <row r="1777" ht="13"/>
    <row r="1778" ht="13"/>
    <row r="1779" ht="13"/>
    <row r="1780" ht="13"/>
    <row r="1781" ht="13"/>
    <row r="1782" ht="13"/>
    <row r="1783" ht="13"/>
    <row r="1784" ht="13"/>
    <row r="1785" ht="13"/>
    <row r="1786" ht="13"/>
    <row r="1787" ht="13"/>
    <row r="1788" ht="13"/>
    <row r="1789" ht="13"/>
    <row r="1790" ht="13"/>
    <row r="1791" ht="13"/>
    <row r="1792" ht="13"/>
    <row r="1793" ht="13"/>
    <row r="1794" ht="13"/>
    <row r="1795" ht="13"/>
    <row r="1796" ht="13"/>
    <row r="1797" ht="13"/>
    <row r="1798" ht="13"/>
    <row r="1799" ht="13"/>
    <row r="1800" ht="13"/>
    <row r="1801" ht="13"/>
    <row r="1802" ht="13"/>
    <row r="1803" ht="13"/>
    <row r="1804" ht="13"/>
    <row r="1805" ht="13"/>
    <row r="1806" ht="13"/>
    <row r="1807" ht="13"/>
    <row r="1808" ht="13"/>
    <row r="1809" ht="13"/>
    <row r="1810" ht="13"/>
    <row r="1811" ht="13"/>
    <row r="1812" ht="13"/>
    <row r="1813" ht="13"/>
    <row r="1814" ht="13"/>
    <row r="1815" ht="13"/>
    <row r="1816" ht="13"/>
    <row r="1817" ht="13"/>
    <row r="1818" ht="13"/>
    <row r="1819" ht="13"/>
    <row r="1820" ht="13"/>
    <row r="1821" ht="13"/>
    <row r="1822" ht="13"/>
    <row r="1823" ht="13"/>
    <row r="1824" ht="13"/>
    <row r="1825" ht="13"/>
    <row r="1826" ht="13"/>
    <row r="1827" ht="13"/>
    <row r="1828" ht="13"/>
  </sheetData>
  <phoneticPr fontId="32" type="noConversion"/>
  <pageMargins left="0.25" right="0.25" top="0.75" bottom="0.75" header="0.3" footer="0.3"/>
  <pageSetup scale="45" fitToHeight="4" orientation="landscape" r:id="rId1"/>
  <headerFooter alignWithMargins="0">
    <oddFooter>Page &amp;P of &amp;N</oddFooter>
  </headerFooter>
  <rowBreaks count="3" manualBreakCount="3">
    <brk id="38" min="29" max="66" man="1"/>
    <brk id="98" min="29" max="66" man="1"/>
    <brk id="181" min="29" max="6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8D59-A66D-4624-A2DE-C669378A6C34}">
  <sheetPr codeName="Sheet17">
    <pageSetUpPr fitToPage="1"/>
  </sheetPr>
  <dimension ref="A1:BQ17"/>
  <sheetViews>
    <sheetView showGridLines="0" zoomScale="75" zoomScaleNormal="75" workbookViewId="0">
      <pane xSplit="1" ySplit="5" topLeftCell="AH6" activePane="bottomRight" state="frozen"/>
      <selection pane="topRight" activeCell="B1" sqref="B1"/>
      <selection pane="bottomLeft" activeCell="A6" sqref="A6"/>
      <selection pane="bottomRight" activeCell="BG13" sqref="BG13"/>
    </sheetView>
  </sheetViews>
  <sheetFormatPr baseColWidth="10" defaultColWidth="9.3984375" defaultRowHeight="13" outlineLevelCol="1"/>
  <cols>
    <col min="1" max="1" width="43.59765625" style="229" customWidth="1"/>
    <col min="2" max="2" width="12" style="229" bestFit="1" customWidth="1"/>
    <col min="3" max="4" width="12.3984375" style="229" bestFit="1" customWidth="1"/>
    <col min="5" max="8" width="12.3984375" style="229" hidden="1" customWidth="1" outlineLevel="1"/>
    <col min="9" max="9" width="12.3984375" style="229" bestFit="1" customWidth="1" collapsed="1"/>
    <col min="10" max="10" width="11" style="303" hidden="1" customWidth="1" outlineLevel="1"/>
    <col min="11" max="12" width="10.59765625" style="303" hidden="1" customWidth="1" outlineLevel="1"/>
    <col min="13" max="13" width="10.3984375" style="303" hidden="1" customWidth="1" outlineLevel="1"/>
    <col min="14" max="14" width="12.3984375" style="229" bestFit="1" customWidth="1" collapsed="1"/>
    <col min="15" max="17" width="10.59765625" style="303" hidden="1" customWidth="1" outlineLevel="1"/>
    <col min="18" max="18" width="12.3984375" style="303" hidden="1" customWidth="1" outlineLevel="1"/>
    <col min="19" max="19" width="12.3984375" style="303" bestFit="1" customWidth="1" collapsed="1"/>
    <col min="20" max="20" width="10.59765625" style="229" hidden="1" customWidth="1" outlineLevel="1"/>
    <col min="21" max="21" width="11" style="303" hidden="1" customWidth="1" outlineLevel="1"/>
    <col min="22" max="22" width="10.59765625" style="303" hidden="1" customWidth="1" outlineLevel="1"/>
    <col min="23" max="23" width="10.796875" style="304" hidden="1" customWidth="1" outlineLevel="1"/>
    <col min="24" max="24" width="12.3984375" style="229" bestFit="1" customWidth="1" collapsed="1"/>
    <col min="25" max="25" width="11.59765625" style="229" hidden="1" customWidth="1" outlineLevel="1"/>
    <col min="26" max="26" width="15.3984375" style="229" hidden="1" customWidth="1" outlineLevel="1"/>
    <col min="27" max="27" width="12.19921875" style="229" hidden="1" customWidth="1" outlineLevel="1"/>
    <col min="28" max="28" width="12.59765625" style="229" hidden="1" customWidth="1" outlineLevel="1"/>
    <col min="29" max="29" width="12.59765625" style="229" bestFit="1" customWidth="1" collapsed="1"/>
    <col min="30" max="30" width="11.59765625" style="229" hidden="1" customWidth="1" outlineLevel="1"/>
    <col min="31" max="31" width="15.3984375" style="229" hidden="1" customWidth="1" outlineLevel="1"/>
    <col min="32" max="32" width="12.19921875" style="229" hidden="1" customWidth="1" outlineLevel="1"/>
    <col min="33" max="33" width="12.59765625" style="229" hidden="1" customWidth="1" outlineLevel="1"/>
    <col min="34" max="34" width="15.59765625" style="229" bestFit="1" customWidth="1" collapsed="1"/>
    <col min="35" max="35" width="11.59765625" style="229" hidden="1" customWidth="1" outlineLevel="1"/>
    <col min="36" max="36" width="15.3984375" style="229" hidden="1" customWidth="1" outlineLevel="1"/>
    <col min="37" max="37" width="12.19921875" style="229" hidden="1" customWidth="1" outlineLevel="1"/>
    <col min="38" max="38" width="12.59765625" style="229" hidden="1" customWidth="1" outlineLevel="1"/>
    <col min="39" max="39" width="15.3984375" style="229" bestFit="1" customWidth="1" collapsed="1"/>
    <col min="40" max="40" width="11.59765625" style="229" hidden="1" customWidth="1" outlineLevel="1"/>
    <col min="41" max="41" width="14.3984375" style="229" hidden="1" customWidth="1" outlineLevel="1"/>
    <col min="42" max="42" width="12.19921875" style="229" hidden="1" customWidth="1" outlineLevel="1"/>
    <col min="43" max="43" width="12.59765625" style="229" hidden="1" customWidth="1" outlineLevel="1"/>
    <col min="44" max="44" width="11.59765625" style="229" bestFit="1" customWidth="1" collapsed="1"/>
    <col min="45" max="45" width="11.59765625" style="229" hidden="1" customWidth="1" outlineLevel="1"/>
    <col min="46" max="46" width="14.3984375" style="229" hidden="1" customWidth="1" outlineLevel="1"/>
    <col min="47" max="47" width="12.19921875" style="229" hidden="1" customWidth="1" outlineLevel="1"/>
    <col min="48" max="48" width="12.59765625" style="229" hidden="1" customWidth="1" outlineLevel="1"/>
    <col min="49" max="49" width="12.19921875" style="229" bestFit="1" customWidth="1" collapsed="1"/>
    <col min="50" max="50" width="11.59765625" style="229" hidden="1" customWidth="1" outlineLevel="1"/>
    <col min="51" max="51" width="14.3984375" style="229" hidden="1" customWidth="1" outlineLevel="1"/>
    <col min="52" max="52" width="12.19921875" style="229" hidden="1" customWidth="1" outlineLevel="1"/>
    <col min="53" max="53" width="12.59765625" style="229" hidden="1" customWidth="1" outlineLevel="1"/>
    <col min="54" max="54" width="12.19921875" style="229" bestFit="1" customWidth="1" collapsed="1"/>
    <col min="55" max="55" width="11.59765625" style="229" bestFit="1" customWidth="1" outlineLevel="1"/>
    <col min="56" max="57" width="14.3984375" style="229" bestFit="1" customWidth="1" outlineLevel="1"/>
    <col min="58" max="58" width="12.59765625" style="229" customWidth="1" outlineLevel="1"/>
    <col min="59" max="59" width="12.19921875" style="229" bestFit="1" customWidth="1"/>
    <col min="60" max="60" width="11.59765625" style="229" bestFit="1" customWidth="1" outlineLevel="1"/>
    <col min="61" max="62" width="14.796875" style="229" customWidth="1" outlineLevel="1"/>
    <col min="63" max="63" width="15.3984375" style="229" customWidth="1" outlineLevel="1"/>
    <col min="64" max="64" width="15.3984375" style="229" bestFit="1" customWidth="1"/>
    <col min="65" max="65" width="14.3984375" style="229" customWidth="1" outlineLevel="1"/>
    <col min="66" max="67" width="14.796875" style="229" customWidth="1" outlineLevel="1"/>
    <col min="68" max="68" width="15.3984375" style="229" customWidth="1" outlineLevel="1"/>
    <col min="69" max="69" width="15.3984375" style="229" bestFit="1" customWidth="1"/>
    <col min="70" max="16384" width="9.3984375" style="229"/>
  </cols>
  <sheetData>
    <row r="1" spans="1:69" s="165" customFormat="1" ht="20">
      <c r="A1" s="297" t="str">
        <f>+'Summary Pg'!B1</f>
        <v>Name of Company</v>
      </c>
      <c r="I1" s="16"/>
      <c r="J1" s="298"/>
      <c r="K1" s="298"/>
      <c r="L1" s="298"/>
      <c r="M1" s="298"/>
      <c r="N1" s="16"/>
      <c r="O1" s="298"/>
      <c r="P1" s="298"/>
      <c r="Q1" s="298"/>
      <c r="R1" s="298"/>
      <c r="S1" s="298"/>
      <c r="U1" s="298"/>
      <c r="V1" s="298"/>
      <c r="W1" s="299"/>
    </row>
    <row r="2" spans="1:69" s="165" customFormat="1" ht="20">
      <c r="A2" s="297" t="s">
        <v>316</v>
      </c>
      <c r="I2" s="16"/>
      <c r="J2" s="298"/>
      <c r="K2" s="298"/>
      <c r="L2" s="298"/>
      <c r="M2" s="298"/>
      <c r="N2" s="16"/>
      <c r="O2" s="298"/>
      <c r="P2" s="298"/>
      <c r="Q2" s="298"/>
      <c r="R2" s="298"/>
      <c r="S2" s="298"/>
      <c r="U2" s="298"/>
      <c r="V2" s="298"/>
      <c r="W2" s="299"/>
    </row>
    <row r="3" spans="1:69" s="165" customFormat="1">
      <c r="A3" s="300"/>
      <c r="I3" s="300"/>
      <c r="J3" s="298"/>
      <c r="K3" s="298"/>
      <c r="L3" s="298"/>
      <c r="M3" s="298"/>
      <c r="N3" s="300"/>
      <c r="O3" s="298"/>
      <c r="P3" s="298"/>
      <c r="Q3" s="298"/>
      <c r="R3" s="298"/>
      <c r="S3" s="298"/>
      <c r="U3" s="298"/>
      <c r="V3" s="298"/>
      <c r="W3" s="299"/>
    </row>
    <row r="4" spans="1:69" s="165" customFormat="1">
      <c r="B4" s="9" t="s">
        <v>134</v>
      </c>
      <c r="C4" s="9" t="s">
        <v>134</v>
      </c>
      <c r="D4" s="9" t="s">
        <v>134</v>
      </c>
      <c r="E4" s="10" t="s">
        <v>317</v>
      </c>
      <c r="F4" s="10" t="s">
        <v>317</v>
      </c>
      <c r="G4" s="10" t="s">
        <v>317</v>
      </c>
      <c r="H4" s="10" t="s">
        <v>317</v>
      </c>
      <c r="I4" s="9" t="s">
        <v>134</v>
      </c>
      <c r="J4" s="10" t="s">
        <v>317</v>
      </c>
      <c r="K4" s="10" t="s">
        <v>317</v>
      </c>
      <c r="L4" s="10" t="s">
        <v>317</v>
      </c>
      <c r="M4" s="10" t="s">
        <v>317</v>
      </c>
      <c r="N4" s="9" t="s">
        <v>134</v>
      </c>
      <c r="O4" s="10" t="s">
        <v>317</v>
      </c>
      <c r="P4" s="10" t="s">
        <v>317</v>
      </c>
      <c r="Q4" s="10" t="s">
        <v>317</v>
      </c>
      <c r="R4" s="10" t="s">
        <v>317</v>
      </c>
      <c r="S4" s="9" t="s">
        <v>134</v>
      </c>
      <c r="T4" s="10" t="s">
        <v>317</v>
      </c>
      <c r="U4" s="10" t="s">
        <v>317</v>
      </c>
      <c r="V4" s="10" t="s">
        <v>317</v>
      </c>
      <c r="W4" s="10" t="s">
        <v>317</v>
      </c>
      <c r="X4" s="9" t="s">
        <v>134</v>
      </c>
      <c r="Y4" s="10" t="s">
        <v>317</v>
      </c>
      <c r="Z4" s="10" t="s">
        <v>317</v>
      </c>
      <c r="AA4" s="10" t="s">
        <v>317</v>
      </c>
      <c r="AB4" s="10" t="s">
        <v>317</v>
      </c>
      <c r="AC4" s="253" t="s">
        <v>134</v>
      </c>
      <c r="AD4" s="10" t="s">
        <v>317</v>
      </c>
      <c r="AE4" s="30" t="s">
        <v>317</v>
      </c>
      <c r="AF4" s="10" t="s">
        <v>317</v>
      </c>
      <c r="AG4" s="10" t="s">
        <v>317</v>
      </c>
      <c r="AH4" s="253" t="s">
        <v>134</v>
      </c>
      <c r="AI4" s="10" t="s">
        <v>317</v>
      </c>
      <c r="AJ4" s="30" t="s">
        <v>317</v>
      </c>
      <c r="AK4" s="10" t="s">
        <v>317</v>
      </c>
      <c r="AL4" s="10" t="s">
        <v>317</v>
      </c>
      <c r="AM4" s="253" t="s">
        <v>134</v>
      </c>
      <c r="AN4" s="10" t="s">
        <v>317</v>
      </c>
      <c r="AO4" s="30" t="s">
        <v>317</v>
      </c>
      <c r="AP4" s="10" t="s">
        <v>317</v>
      </c>
      <c r="AQ4" s="10" t="s">
        <v>317</v>
      </c>
      <c r="AR4" s="253" t="s">
        <v>134</v>
      </c>
      <c r="AS4" s="10" t="s">
        <v>317</v>
      </c>
      <c r="AT4" s="30" t="s">
        <v>317</v>
      </c>
      <c r="AU4" s="10" t="s">
        <v>317</v>
      </c>
      <c r="AV4" s="10" t="s">
        <v>317</v>
      </c>
      <c r="AW4" s="253" t="s">
        <v>134</v>
      </c>
      <c r="AX4" s="10" t="s">
        <v>317</v>
      </c>
      <c r="AY4" s="30" t="s">
        <v>317</v>
      </c>
      <c r="AZ4" s="10" t="s">
        <v>317</v>
      </c>
      <c r="BA4" s="10" t="s">
        <v>317</v>
      </c>
      <c r="BB4" s="253" t="s">
        <v>134</v>
      </c>
      <c r="BC4" s="10" t="s">
        <v>317</v>
      </c>
      <c r="BD4" s="30" t="s">
        <v>317</v>
      </c>
      <c r="BE4" s="30" t="s">
        <v>317</v>
      </c>
      <c r="BF4" s="10" t="s">
        <v>317</v>
      </c>
      <c r="BG4" s="253" t="s">
        <v>134</v>
      </c>
      <c r="BH4" s="10" t="s">
        <v>317</v>
      </c>
      <c r="BI4" s="360" t="s">
        <v>317</v>
      </c>
      <c r="BJ4" s="360" t="s">
        <v>317</v>
      </c>
      <c r="BK4" s="360" t="s">
        <v>317</v>
      </c>
      <c r="BL4" s="361" t="s">
        <v>134</v>
      </c>
      <c r="BM4" s="360" t="s">
        <v>317</v>
      </c>
      <c r="BN4" s="360" t="s">
        <v>317</v>
      </c>
      <c r="BO4" s="360" t="s">
        <v>317</v>
      </c>
      <c r="BP4" s="360" t="s">
        <v>317</v>
      </c>
      <c r="BQ4" s="361" t="s">
        <v>134</v>
      </c>
    </row>
    <row r="5" spans="1:69" s="165" customFormat="1">
      <c r="B5" s="639">
        <v>37256</v>
      </c>
      <c r="C5" s="639">
        <f>EOMONTH(B5,12)</f>
        <v>37621</v>
      </c>
      <c r="D5" s="639">
        <f>EOMONTH(C5,12)</f>
        <v>37986</v>
      </c>
      <c r="E5" s="123">
        <f>EOMONTH(D5,3)</f>
        <v>38077</v>
      </c>
      <c r="F5" s="123">
        <f>EOMONTH(E5,3)</f>
        <v>38168</v>
      </c>
      <c r="G5" s="123">
        <f>EOMONTH(F5,3)</f>
        <v>38260</v>
      </c>
      <c r="H5" s="123">
        <f>EOMONTH(G5,3)</f>
        <v>38352</v>
      </c>
      <c r="I5" s="639">
        <f>EOMONTH(D5,12)</f>
        <v>38352</v>
      </c>
      <c r="J5" s="123">
        <f>EOMONTH(I5,3)</f>
        <v>38442</v>
      </c>
      <c r="K5" s="123">
        <f>EOMONTH(J5,3)</f>
        <v>38533</v>
      </c>
      <c r="L5" s="123">
        <f>EOMONTH(K5,3)</f>
        <v>38625</v>
      </c>
      <c r="M5" s="123">
        <f>EOMONTH(L5,3)</f>
        <v>38717</v>
      </c>
      <c r="N5" s="639">
        <f>EOMONTH(I5,12)</f>
        <v>38717</v>
      </c>
      <c r="O5" s="123">
        <f>EOMONTH(N5,3)</f>
        <v>38807</v>
      </c>
      <c r="P5" s="123">
        <f>EOMONTH(O5,3)</f>
        <v>38898</v>
      </c>
      <c r="Q5" s="123">
        <f>EOMONTH(P5,3)</f>
        <v>38990</v>
      </c>
      <c r="R5" s="123">
        <f>EOMONTH(Q5,3)</f>
        <v>39082</v>
      </c>
      <c r="S5" s="639">
        <f>EOMONTH(N5,12)</f>
        <v>39082</v>
      </c>
      <c r="T5" s="123">
        <f>EOMONTH(S5,3)</f>
        <v>39172</v>
      </c>
      <c r="U5" s="123">
        <f>EOMONTH(T5,3)</f>
        <v>39263</v>
      </c>
      <c r="V5" s="123">
        <f>EOMONTH(U5,3)</f>
        <v>39355</v>
      </c>
      <c r="W5" s="123">
        <f>EOMONTH(V5,3)</f>
        <v>39447</v>
      </c>
      <c r="X5" s="639">
        <f>+W5</f>
        <v>39447</v>
      </c>
      <c r="Y5" s="123">
        <f>EOMONTH(X5,3)</f>
        <v>39538</v>
      </c>
      <c r="Z5" s="123">
        <f>EOMONTH(Y5,3)</f>
        <v>39629</v>
      </c>
      <c r="AA5" s="123">
        <f>EOMONTH(Z5,3)</f>
        <v>39721</v>
      </c>
      <c r="AB5" s="123">
        <f>EOMONTH(AA5,3)</f>
        <v>39813</v>
      </c>
      <c r="AC5" s="639">
        <f>+AB5</f>
        <v>39813</v>
      </c>
      <c r="AD5" s="123">
        <f>EOMONTH(AC5,3)</f>
        <v>39903</v>
      </c>
      <c r="AE5" s="123">
        <f>EOMONTH(AD5,3)</f>
        <v>39994</v>
      </c>
      <c r="AF5" s="123">
        <f>EOMONTH(AE5,3)</f>
        <v>40086</v>
      </c>
      <c r="AG5" s="123">
        <f>EOMONTH(AF5,3)</f>
        <v>40178</v>
      </c>
      <c r="AH5" s="639">
        <f>+AG5</f>
        <v>40178</v>
      </c>
      <c r="AI5" s="123">
        <f>EOMONTH(AH5,3)</f>
        <v>40268</v>
      </c>
      <c r="AJ5" s="123">
        <f>EOMONTH(AI5,3)</f>
        <v>40359</v>
      </c>
      <c r="AK5" s="123">
        <f>EOMONTH(AJ5,3)</f>
        <v>40451</v>
      </c>
      <c r="AL5" s="123">
        <f>EOMONTH(AK5,3)</f>
        <v>40543</v>
      </c>
      <c r="AM5" s="639">
        <f>+AL5</f>
        <v>40543</v>
      </c>
      <c r="AN5" s="123">
        <f>EOMONTH(AM5,3)</f>
        <v>40633</v>
      </c>
      <c r="AO5" s="123">
        <f>EOMONTH(AN5,3)</f>
        <v>40724</v>
      </c>
      <c r="AP5" s="123">
        <f>EOMONTH(AO5,3)</f>
        <v>40816</v>
      </c>
      <c r="AQ5" s="123">
        <f>EOMONTH(AP5,3)</f>
        <v>40908</v>
      </c>
      <c r="AR5" s="639">
        <f>+AQ5</f>
        <v>40908</v>
      </c>
      <c r="AS5" s="123">
        <f>EOMONTH(AR5,3)</f>
        <v>40999</v>
      </c>
      <c r="AT5" s="123">
        <f>EOMONTH(AS5,3)</f>
        <v>41090</v>
      </c>
      <c r="AU5" s="123">
        <f>EOMONTH(AT5,3)</f>
        <v>41182</v>
      </c>
      <c r="AV5" s="123">
        <f>EOMONTH(AU5,3)</f>
        <v>41274</v>
      </c>
      <c r="AW5" s="639">
        <f>+AV5</f>
        <v>41274</v>
      </c>
      <c r="AX5" s="123">
        <f>EOMONTH(AW5,3)</f>
        <v>41364</v>
      </c>
      <c r="AY5" s="123">
        <f>EOMONTH(AX5,3)</f>
        <v>41455</v>
      </c>
      <c r="AZ5" s="123">
        <f>EOMONTH(AY5,3)</f>
        <v>41547</v>
      </c>
      <c r="BA5" s="123">
        <f>EOMONTH(AZ5,3)</f>
        <v>41639</v>
      </c>
      <c r="BB5" s="639">
        <f>+BA5</f>
        <v>41639</v>
      </c>
      <c r="BC5" s="123">
        <f>EOMONTH(BB5,3)</f>
        <v>41729</v>
      </c>
      <c r="BD5" s="123">
        <f>EOMONTH(BC5,3)</f>
        <v>41820</v>
      </c>
      <c r="BE5" s="123">
        <f>EOMONTH(BD5,3)</f>
        <v>41912</v>
      </c>
      <c r="BF5" s="123">
        <f>EOMONTH(BE5,3)</f>
        <v>42004</v>
      </c>
      <c r="BG5" s="639">
        <f>+BF5</f>
        <v>42004</v>
      </c>
      <c r="BH5" s="123">
        <f>EOMONTH(BG5,3)</f>
        <v>42094</v>
      </c>
      <c r="BI5" s="362">
        <f>EOMONTH(BH5,3)</f>
        <v>42185</v>
      </c>
      <c r="BJ5" s="362">
        <f>EOMONTH(BI5,3)</f>
        <v>42277</v>
      </c>
      <c r="BK5" s="362">
        <f>EOMONTH(BJ5,3)</f>
        <v>42369</v>
      </c>
      <c r="BL5" s="363">
        <f>+BK5</f>
        <v>42369</v>
      </c>
      <c r="BM5" s="362">
        <f>EOMONTH(BL5,3)</f>
        <v>42460</v>
      </c>
      <c r="BN5" s="362">
        <f>EOMONTH(BM5,3)</f>
        <v>42551</v>
      </c>
      <c r="BO5" s="362">
        <f>EOMONTH(BN5,3)</f>
        <v>42643</v>
      </c>
      <c r="BP5" s="362">
        <f>EOMONTH(BO5,3)</f>
        <v>42735</v>
      </c>
      <c r="BQ5" s="363">
        <f>+BP5</f>
        <v>42735</v>
      </c>
    </row>
    <row r="6" spans="1:69">
      <c r="A6" s="259"/>
      <c r="B6" s="301"/>
      <c r="C6" s="301"/>
      <c r="D6" s="301"/>
      <c r="E6" s="301"/>
      <c r="F6" s="301"/>
      <c r="G6" s="301"/>
      <c r="H6" s="301"/>
      <c r="I6" s="301"/>
      <c r="J6" s="302"/>
      <c r="K6" s="302"/>
      <c r="L6" s="302"/>
      <c r="M6" s="302"/>
      <c r="N6" s="302"/>
      <c r="O6" s="302"/>
      <c r="P6" s="302"/>
      <c r="Q6" s="302"/>
      <c r="R6" s="302"/>
      <c r="S6" s="302"/>
      <c r="T6" s="302"/>
      <c r="U6" s="302"/>
      <c r="V6" s="302"/>
      <c r="W6" s="302"/>
      <c r="X6" s="302"/>
      <c r="Y6" s="302"/>
      <c r="Z6" s="301"/>
      <c r="AA6" s="301"/>
      <c r="AB6" s="301"/>
      <c r="AC6" s="301"/>
      <c r="AD6" s="302"/>
      <c r="AE6" s="301"/>
      <c r="AF6" s="301"/>
      <c r="AG6" s="301"/>
      <c r="AH6" s="301"/>
      <c r="AI6" s="302"/>
      <c r="AJ6" s="301"/>
      <c r="AK6" s="301"/>
      <c r="AL6" s="301"/>
      <c r="AM6" s="301"/>
      <c r="AN6" s="302"/>
      <c r="AO6" s="301"/>
      <c r="AP6" s="301"/>
      <c r="AQ6" s="301"/>
      <c r="AR6" s="301"/>
      <c r="AS6" s="302"/>
      <c r="AT6" s="301"/>
      <c r="AU6" s="301"/>
      <c r="AV6" s="301"/>
      <c r="AW6" s="301"/>
      <c r="AX6" s="302"/>
      <c r="AY6" s="301"/>
      <c r="AZ6" s="301"/>
      <c r="BA6" s="301"/>
      <c r="BB6" s="301"/>
      <c r="BC6" s="302"/>
      <c r="BD6" s="301"/>
      <c r="BE6" s="301"/>
      <c r="BF6" s="301"/>
      <c r="BG6" s="301"/>
      <c r="BH6" s="302"/>
      <c r="BI6" s="301"/>
      <c r="BJ6" s="301"/>
      <c r="BK6" s="301"/>
      <c r="BL6" s="301"/>
      <c r="BM6" s="302"/>
      <c r="BN6" s="301"/>
      <c r="BO6" s="301"/>
      <c r="BP6" s="301"/>
      <c r="BQ6" s="301"/>
    </row>
    <row r="7" spans="1:69">
      <c r="A7" s="335"/>
      <c r="B7" s="301"/>
      <c r="C7" s="301"/>
      <c r="D7" s="301"/>
      <c r="E7" s="301"/>
      <c r="F7" s="301"/>
      <c r="G7" s="301"/>
      <c r="H7" s="301"/>
      <c r="I7" s="301"/>
      <c r="J7" s="302"/>
      <c r="K7" s="302"/>
      <c r="L7" s="302"/>
      <c r="M7" s="302"/>
      <c r="N7" s="302"/>
      <c r="O7" s="302"/>
      <c r="P7" s="302"/>
      <c r="Q7" s="302"/>
      <c r="R7" s="302"/>
      <c r="S7" s="302"/>
      <c r="T7" s="302"/>
      <c r="U7" s="302"/>
      <c r="V7" s="302"/>
      <c r="W7" s="302"/>
      <c r="X7" s="302"/>
      <c r="Y7" s="302"/>
      <c r="Z7" s="301"/>
      <c r="AA7" s="301"/>
      <c r="AB7" s="301"/>
      <c r="AC7" s="301"/>
      <c r="AD7" s="302"/>
      <c r="AE7" s="301"/>
      <c r="AF7" s="301"/>
      <c r="AG7" s="301"/>
      <c r="AH7" s="301"/>
      <c r="AI7" s="302"/>
      <c r="AJ7" s="301"/>
      <c r="AK7" s="301"/>
      <c r="AL7" s="301"/>
      <c r="AM7" s="301"/>
      <c r="AN7" s="302"/>
      <c r="AO7" s="301"/>
      <c r="AP7" s="301"/>
      <c r="AQ7" s="301"/>
      <c r="AR7" s="301"/>
      <c r="AS7" s="302"/>
      <c r="AT7" s="301"/>
      <c r="AU7" s="301"/>
      <c r="AV7" s="301"/>
      <c r="AW7" s="301"/>
      <c r="AX7" s="302"/>
      <c r="AY7" s="301"/>
      <c r="AZ7" s="301"/>
      <c r="BA7" s="301"/>
      <c r="BB7" s="301"/>
      <c r="BC7" s="302"/>
      <c r="BD7" s="301"/>
      <c r="BE7" s="301"/>
      <c r="BF7" s="301"/>
      <c r="BG7" s="301"/>
      <c r="BH7" s="302"/>
      <c r="BI7" s="301"/>
      <c r="BJ7" s="301"/>
      <c r="BK7" s="301"/>
      <c r="BL7" s="301"/>
      <c r="BM7" s="302"/>
      <c r="BN7" s="301"/>
      <c r="BO7" s="301"/>
      <c r="BP7" s="301"/>
      <c r="BQ7" s="301"/>
    </row>
    <row r="8" spans="1:69">
      <c r="A8" s="336"/>
      <c r="B8" s="301"/>
      <c r="C8" s="301"/>
      <c r="D8" s="301"/>
      <c r="E8" s="301"/>
      <c r="F8" s="301"/>
      <c r="G8" s="301"/>
      <c r="H8" s="301"/>
      <c r="I8" s="301"/>
      <c r="J8" s="302"/>
      <c r="K8" s="302"/>
      <c r="L8" s="302"/>
      <c r="M8" s="302"/>
      <c r="N8" s="302"/>
      <c r="O8" s="302"/>
      <c r="P8" s="302"/>
      <c r="Q8" s="302"/>
      <c r="R8" s="302"/>
      <c r="S8" s="302"/>
      <c r="T8" s="302"/>
      <c r="U8" s="302"/>
      <c r="V8" s="302"/>
      <c r="W8" s="302"/>
      <c r="X8" s="302"/>
      <c r="Y8" s="302"/>
      <c r="Z8" s="301"/>
      <c r="AA8" s="301"/>
      <c r="AB8" s="301"/>
      <c r="AC8" s="301"/>
      <c r="AD8" s="302"/>
      <c r="AE8" s="301"/>
      <c r="AF8" s="301"/>
      <c r="AG8" s="301"/>
      <c r="AH8" s="301"/>
      <c r="AI8" s="302"/>
      <c r="AJ8" s="301"/>
      <c r="AK8" s="301"/>
      <c r="AL8" s="301"/>
      <c r="AM8" s="301"/>
      <c r="AN8" s="302"/>
      <c r="AO8" s="301"/>
      <c r="AP8" s="301"/>
      <c r="AQ8" s="301"/>
      <c r="AR8" s="301"/>
      <c r="AS8" s="302"/>
      <c r="AT8" s="301"/>
      <c r="AU8" s="301"/>
      <c r="AV8" s="301"/>
      <c r="AW8" s="301"/>
      <c r="AX8" s="302"/>
      <c r="AY8" s="301"/>
      <c r="AZ8" s="301"/>
      <c r="BA8" s="301"/>
      <c r="BB8" s="301"/>
      <c r="BC8" s="302"/>
      <c r="BD8" s="301"/>
      <c r="BE8" s="301"/>
      <c r="BF8" s="301"/>
      <c r="BG8" s="301"/>
      <c r="BH8" s="302"/>
      <c r="BI8" s="301"/>
      <c r="BJ8" s="301"/>
      <c r="BK8" s="301"/>
      <c r="BL8" s="301"/>
      <c r="BM8" s="302"/>
      <c r="BN8" s="301"/>
      <c r="BO8" s="301"/>
      <c r="BP8" s="301"/>
      <c r="BQ8" s="301"/>
    </row>
    <row r="9" spans="1:69">
      <c r="S9" s="229"/>
    </row>
    <row r="10" spans="1:69">
      <c r="S10" s="229"/>
    </row>
    <row r="11" spans="1:69">
      <c r="S11" s="229"/>
    </row>
    <row r="12" spans="1:69">
      <c r="A12" s="303"/>
      <c r="I12" s="305"/>
      <c r="N12" s="306"/>
      <c r="O12" s="302"/>
      <c r="P12" s="306"/>
      <c r="Q12" s="306"/>
      <c r="R12" s="306"/>
      <c r="S12" s="306"/>
      <c r="T12" s="306"/>
      <c r="U12" s="306"/>
      <c r="V12" s="306"/>
      <c r="W12" s="306"/>
      <c r="X12" s="306"/>
      <c r="Y12" s="306"/>
      <c r="Z12" s="306"/>
      <c r="AA12" s="306"/>
      <c r="AD12" s="306"/>
      <c r="AE12" s="306"/>
      <c r="AF12" s="306"/>
      <c r="AI12" s="306"/>
      <c r="AJ12" s="306"/>
      <c r="AK12" s="306"/>
      <c r="AN12" s="306"/>
      <c r="AO12" s="306"/>
      <c r="AP12" s="306"/>
      <c r="AS12" s="306"/>
      <c r="AT12" s="306"/>
      <c r="AU12" s="306"/>
      <c r="AX12" s="306"/>
      <c r="AY12" s="306"/>
      <c r="AZ12" s="306"/>
      <c r="BC12" s="306"/>
      <c r="BD12" s="306"/>
      <c r="BE12" s="306"/>
      <c r="BH12" s="306"/>
      <c r="BI12" s="306"/>
      <c r="BJ12" s="306"/>
      <c r="BM12" s="306"/>
      <c r="BN12" s="306"/>
      <c r="BO12" s="306"/>
    </row>
    <row r="13" spans="1:69">
      <c r="A13" s="303"/>
      <c r="I13" s="305"/>
      <c r="N13" s="306"/>
      <c r="O13" s="302"/>
      <c r="P13" s="306"/>
      <c r="Q13" s="306"/>
      <c r="R13" s="306"/>
      <c r="S13" s="306"/>
      <c r="T13" s="306"/>
      <c r="U13" s="306"/>
      <c r="V13" s="306"/>
      <c r="W13" s="306"/>
      <c r="X13" s="306"/>
      <c r="Y13" s="306"/>
      <c r="Z13" s="306"/>
      <c r="AA13" s="306"/>
      <c r="AD13" s="306"/>
      <c r="AE13" s="306"/>
      <c r="AF13" s="306"/>
      <c r="AI13" s="306"/>
      <c r="AJ13" s="306"/>
      <c r="AK13" s="306"/>
      <c r="AN13" s="306"/>
      <c r="AO13" s="306"/>
      <c r="AP13" s="306"/>
      <c r="AS13" s="306"/>
      <c r="AT13" s="306"/>
      <c r="AU13" s="306"/>
      <c r="AX13" s="306"/>
      <c r="AY13" s="306"/>
      <c r="AZ13" s="306"/>
      <c r="BC13" s="306"/>
      <c r="BD13" s="306"/>
      <c r="BE13" s="306"/>
      <c r="BH13" s="306"/>
      <c r="BI13" s="306"/>
      <c r="BJ13" s="306"/>
      <c r="BM13" s="306"/>
      <c r="BN13" s="306"/>
      <c r="BO13" s="306"/>
    </row>
    <row r="14" spans="1:69">
      <c r="A14" s="303"/>
      <c r="O14" s="302"/>
      <c r="P14" s="306"/>
      <c r="Q14" s="306"/>
      <c r="R14" s="306"/>
      <c r="S14" s="306"/>
      <c r="T14" s="306"/>
      <c r="U14" s="306"/>
      <c r="V14" s="306"/>
      <c r="W14" s="306"/>
      <c r="X14" s="306"/>
      <c r="Y14" s="306"/>
      <c r="Z14" s="306"/>
      <c r="AA14" s="306"/>
      <c r="AD14" s="306"/>
      <c r="AE14" s="306"/>
      <c r="AF14" s="306"/>
      <c r="AI14" s="306"/>
      <c r="AJ14" s="306"/>
      <c r="AK14" s="306"/>
      <c r="AN14" s="306"/>
      <c r="AO14" s="306"/>
      <c r="AP14" s="306"/>
      <c r="AS14" s="306"/>
      <c r="AT14" s="306"/>
      <c r="AU14" s="306"/>
      <c r="AX14" s="306"/>
      <c r="AY14" s="306"/>
      <c r="AZ14" s="306"/>
      <c r="BC14" s="306"/>
      <c r="BD14" s="306"/>
      <c r="BE14" s="306"/>
      <c r="BH14" s="306"/>
      <c r="BI14" s="306"/>
      <c r="BJ14" s="306"/>
      <c r="BM14" s="306"/>
      <c r="BN14" s="306"/>
      <c r="BO14" s="306"/>
    </row>
    <row r="16" spans="1:69">
      <c r="S16" s="229"/>
    </row>
    <row r="17" spans="19:19">
      <c r="S17" s="229"/>
    </row>
  </sheetData>
  <phoneticPr fontId="0" type="noConversion"/>
  <pageMargins left="0.25" right="0.25" top="0.75" bottom="0.75" header="0.3" footer="0.3"/>
  <pageSetup scale="76" orientation="landscape" r:id="rId1"/>
  <headerFooter alignWithMargins="0">
    <oddFooter>Page &amp;P of &amp;N</oddFooter>
  </headerFooter>
  <colBreaks count="1" manualBreakCount="1">
    <brk id="23" max="6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21DB-753F-4542-86F8-D2B39D33C911}">
  <sheetPr>
    <pageSetUpPr fitToPage="1"/>
  </sheetPr>
  <dimension ref="A1:BT43"/>
  <sheetViews>
    <sheetView showGridLines="0" zoomScale="85" zoomScaleNormal="85" workbookViewId="0">
      <pane xSplit="4" ySplit="8" topLeftCell="E9" activePane="bottomRight" state="frozen"/>
      <selection pane="topRight" activeCell="B21" sqref="B21"/>
      <selection pane="bottomLeft" activeCell="B21" sqref="B21"/>
      <selection pane="bottomRight" activeCell="I20" sqref="I20"/>
    </sheetView>
  </sheetViews>
  <sheetFormatPr baseColWidth="10" defaultColWidth="9.3984375" defaultRowHeight="13" outlineLevelCol="1"/>
  <cols>
    <col min="1" max="3" width="9.3984375" style="158"/>
    <col min="4" max="4" width="15.3984375" style="158" customWidth="1"/>
    <col min="5" max="7" width="12" style="158" bestFit="1" customWidth="1"/>
    <col min="8" max="10" width="10.796875" style="158" bestFit="1" customWidth="1" outlineLevel="1"/>
    <col min="11" max="11" width="12" style="158" bestFit="1" customWidth="1" outlineLevel="1"/>
    <col min="12" max="12" width="12" style="158" bestFit="1" customWidth="1"/>
    <col min="13" max="15" width="10.796875" style="158" bestFit="1" customWidth="1" outlineLevel="1"/>
    <col min="16" max="16" width="12" style="158" bestFit="1" customWidth="1" outlineLevel="1"/>
    <col min="17" max="17" width="12" style="158" bestFit="1" customWidth="1"/>
    <col min="18" max="20" width="10.796875" style="158" bestFit="1" customWidth="1" outlineLevel="1"/>
    <col min="21" max="21" width="12" style="158" bestFit="1" customWidth="1" outlineLevel="1"/>
    <col min="22" max="22" width="12" style="158" bestFit="1" customWidth="1"/>
    <col min="23" max="25" width="10.796875" style="158" bestFit="1" customWidth="1" outlineLevel="1"/>
    <col min="26" max="26" width="12" style="158" bestFit="1" customWidth="1" outlineLevel="1"/>
    <col min="27" max="27" width="12" style="158" bestFit="1" customWidth="1"/>
    <col min="28" max="30" width="10.796875" style="158" bestFit="1" customWidth="1" outlineLevel="1"/>
    <col min="31" max="31" width="12" style="158" bestFit="1" customWidth="1" outlineLevel="1"/>
    <col min="32" max="32" width="12" style="158" bestFit="1" customWidth="1"/>
    <col min="33" max="35" width="10.796875" style="158" bestFit="1" customWidth="1" outlineLevel="1"/>
    <col min="36" max="36" width="12" style="158" bestFit="1" customWidth="1" outlineLevel="1"/>
    <col min="37" max="37" width="12" style="158" bestFit="1" customWidth="1"/>
    <col min="38" max="40" width="10.796875" style="158" bestFit="1" customWidth="1" outlineLevel="1"/>
    <col min="41" max="41" width="12" style="158" bestFit="1" customWidth="1" outlineLevel="1"/>
    <col min="42" max="42" width="12" style="158" bestFit="1" customWidth="1"/>
    <col min="43" max="44" width="10.796875" style="158" bestFit="1" customWidth="1" outlineLevel="1"/>
    <col min="45" max="45" width="10.796875" style="124" bestFit="1" customWidth="1" outlineLevel="1"/>
    <col min="46" max="46" width="12" style="158" bestFit="1" customWidth="1" outlineLevel="1"/>
    <col min="47" max="47" width="12" style="158" bestFit="1" customWidth="1"/>
    <col min="48" max="49" width="10.796875" style="158" bestFit="1" customWidth="1" outlineLevel="1"/>
    <col min="50" max="50" width="10.796875" style="124" bestFit="1" customWidth="1" outlineLevel="1"/>
    <col min="51" max="51" width="12" style="158" bestFit="1" customWidth="1" outlineLevel="1"/>
    <col min="52" max="52" width="12" style="158" bestFit="1" customWidth="1"/>
    <col min="53" max="54" width="10.796875" style="158" bestFit="1" customWidth="1" outlineLevel="1"/>
    <col min="55" max="55" width="10.796875" style="124" bestFit="1" customWidth="1" outlineLevel="1"/>
    <col min="56" max="56" width="12" style="158" bestFit="1" customWidth="1" outlineLevel="1"/>
    <col min="57" max="57" width="12" style="158" bestFit="1" customWidth="1"/>
    <col min="58" max="60" width="10.796875" style="158" bestFit="1" customWidth="1" outlineLevel="1"/>
    <col min="61" max="61" width="12" style="158" bestFit="1" customWidth="1" outlineLevel="1"/>
    <col min="62" max="62" width="12" style="158" bestFit="1" customWidth="1"/>
    <col min="63" max="63" width="10.796875" style="158" bestFit="1" customWidth="1" outlineLevel="1"/>
    <col min="64" max="65" width="14.3984375" style="124" bestFit="1" customWidth="1" outlineLevel="1"/>
    <col min="66" max="66" width="15.59765625" style="124" bestFit="1" customWidth="1" outlineLevel="1"/>
    <col min="67" max="67" width="15.59765625" style="124" bestFit="1" customWidth="1"/>
    <col min="68" max="70" width="14.3984375" style="124" bestFit="1" customWidth="1" outlineLevel="1"/>
    <col min="71" max="71" width="15.59765625" style="124" bestFit="1" customWidth="1" outlineLevel="1"/>
    <col min="72" max="72" width="15.59765625" style="124" bestFit="1" customWidth="1"/>
    <col min="73" max="16384" width="9.3984375" style="158"/>
  </cols>
  <sheetData>
    <row r="1" spans="1:72">
      <c r="B1" s="670" t="s">
        <v>318</v>
      </c>
      <c r="C1" s="670" t="s">
        <v>94</v>
      </c>
    </row>
    <row r="2" spans="1:72" ht="20">
      <c r="B2" s="35" t="str">
        <f>+'Summary Pg'!B1</f>
        <v>Name of Company</v>
      </c>
    </row>
    <row r="3" spans="1:72">
      <c r="B3" s="21" t="s">
        <v>319</v>
      </c>
    </row>
    <row r="5" spans="1:72" s="21" customFormat="1">
      <c r="B5" s="21" t="s">
        <v>320</v>
      </c>
      <c r="E5" s="636" t="e">
        <f ca="1">+_xll.BDH($B$1,$C$1,E8,E8, "days=a", "fill=p")/100</f>
        <v>#NAME?</v>
      </c>
      <c r="F5" s="636" t="e">
        <f ca="1">+_xll.BDH($B$1,$C$1,F8,F8, "days=a", "fill=p")/100</f>
        <v>#NAME?</v>
      </c>
      <c r="G5" s="636" t="e">
        <f ca="1">+_xll.BDH($B$1,$C$1,G8,G8, "days=a", "fill=p")/100</f>
        <v>#NAME?</v>
      </c>
      <c r="H5" s="636" t="e">
        <f ca="1">+_xll.BDH($B$1,$C$1,H8,H8, "days=a", "fill=p")/100</f>
        <v>#NAME?</v>
      </c>
      <c r="I5" s="636" t="e">
        <f ca="1">+_xll.BDH($B$1,$C$1,I8,I8, "days=a", "fill=p")/100</f>
        <v>#NAME?</v>
      </c>
      <c r="J5" s="636" t="e">
        <f ca="1">+_xll.BDH($B$1,$C$1,J8,J8, "days=a", "fill=p")/100</f>
        <v>#NAME?</v>
      </c>
      <c r="K5" s="636" t="e">
        <f ca="1">+_xll.BDH($B$1,$C$1,K8,K8, "days=a", "fill=p")/100</f>
        <v>#NAME?</v>
      </c>
      <c r="L5" s="636" t="e">
        <f ca="1">+_xll.BDH($B$1,$C$1,L8,L8, "days=a", "fill=p")/100</f>
        <v>#NAME?</v>
      </c>
      <c r="M5" s="636" t="e">
        <f ca="1">+_xll.BDH($B$1,$C$1,M8,M8, "days=a", "fill=p")/100</f>
        <v>#NAME?</v>
      </c>
      <c r="N5" s="636" t="e">
        <f ca="1">+_xll.BDH($B$1,$C$1,N8,N8, "days=a", "fill=p")/100</f>
        <v>#NAME?</v>
      </c>
      <c r="O5" s="636" t="e">
        <f ca="1">+_xll.BDH($B$1,$C$1,O8,O8, "days=a", "fill=p")/100</f>
        <v>#NAME?</v>
      </c>
      <c r="P5" s="636" t="e">
        <f ca="1">+_xll.BDH($B$1,$C$1,P8,P8, "days=a", "fill=p")/100</f>
        <v>#NAME?</v>
      </c>
      <c r="Q5" s="636" t="e">
        <f ca="1">+_xll.BDH($B$1,$C$1,Q8,Q8, "days=a", "fill=p")/100</f>
        <v>#NAME?</v>
      </c>
      <c r="R5" s="636" t="e">
        <f ca="1">+_xll.BDH($B$1,$C$1,R8,R8, "days=a", "fill=p")/100</f>
        <v>#NAME?</v>
      </c>
      <c r="S5" s="636" t="e">
        <f ca="1">+_xll.BDH($B$1,$C$1,S8,S8, "days=a", "fill=p")/100</f>
        <v>#NAME?</v>
      </c>
      <c r="T5" s="636" t="e">
        <f ca="1">+_xll.BDH($B$1,$C$1,T8,T8, "days=a", "fill=p")/100</f>
        <v>#NAME?</v>
      </c>
      <c r="U5" s="636" t="e">
        <f ca="1">+_xll.BDH($B$1,$C$1,U8,U8, "days=a", "fill=p")/100</f>
        <v>#NAME?</v>
      </c>
      <c r="V5" s="636" t="e">
        <f ca="1">+_xll.BDH($B$1,$C$1,V8,V8, "days=a", "fill=p")/100</f>
        <v>#NAME?</v>
      </c>
      <c r="W5" s="636" t="e">
        <f ca="1">+_xll.BDH($B$1,$C$1,W8,W8, "days=a", "fill=p")/100</f>
        <v>#NAME?</v>
      </c>
      <c r="X5" s="636" t="e">
        <f ca="1">+_xll.BDH($B$1,$C$1,X8,X8, "days=a", "fill=p")/100</f>
        <v>#NAME?</v>
      </c>
      <c r="Y5" s="636" t="e">
        <f ca="1">+_xll.BDH($B$1,$C$1,Y8,Y8, "days=a", "fill=p")/100</f>
        <v>#NAME?</v>
      </c>
      <c r="Z5" s="636" t="e">
        <f ca="1">+_xll.BDH($B$1,$C$1,Z8,Z8, "days=a", "fill=p")/100</f>
        <v>#NAME?</v>
      </c>
      <c r="AA5" s="636" t="e">
        <f ca="1">+_xll.BDH($B$1,$C$1,AA8,AA8, "days=a", "fill=p")/100</f>
        <v>#NAME?</v>
      </c>
      <c r="AB5" s="636" t="e">
        <f ca="1">+_xll.BDH($B$1,$C$1,AB8,AB8, "days=a", "fill=p")/100</f>
        <v>#NAME?</v>
      </c>
      <c r="AC5" s="636" t="e">
        <f ca="1">+_xll.BDH($B$1,$C$1,AC8,AC8, "days=a", "fill=p")/100</f>
        <v>#NAME?</v>
      </c>
      <c r="AD5" s="636" t="e">
        <f ca="1">+_xll.BDH($B$1,$C$1,AD8,AD8, "days=a", "fill=p")/100</f>
        <v>#NAME?</v>
      </c>
      <c r="AE5" s="636" t="e">
        <f ca="1">+_xll.BDH($B$1,$C$1,AE8,AE8, "days=a", "fill=p")/100</f>
        <v>#NAME?</v>
      </c>
      <c r="AF5" s="636" t="e">
        <f ca="1">+_xll.BDH($B$1,$C$1,AF8,AF8, "days=a", "fill=p")/100</f>
        <v>#NAME?</v>
      </c>
      <c r="AG5" s="636" t="e">
        <f ca="1">+_xll.BDH($B$1,$C$1,AG8,AG8, "days=a", "fill=p")/100</f>
        <v>#NAME?</v>
      </c>
      <c r="AH5" s="636" t="e">
        <f ca="1">+_xll.BDH($B$1,$C$1,AH8,AH8, "days=a", "fill=p")/100</f>
        <v>#NAME?</v>
      </c>
      <c r="AI5" s="636" t="e">
        <f ca="1">+_xll.BDH($B$1,$C$1,AI8,AI8, "days=a", "fill=p")/100</f>
        <v>#NAME?</v>
      </c>
      <c r="AJ5" s="636" t="e">
        <f ca="1">+_xll.BDH($B$1,$C$1,AJ8,AJ8, "days=a", "fill=p")/100</f>
        <v>#NAME?</v>
      </c>
      <c r="AK5" s="636" t="e">
        <f ca="1">+_xll.BDH($B$1,$C$1,AK8,AK8, "days=a", "fill=p")/100</f>
        <v>#NAME?</v>
      </c>
      <c r="AL5" s="636" t="e">
        <f ca="1">+_xll.BDH($B$1,$C$1,AL8,AL8, "days=a", "fill=p")/100</f>
        <v>#NAME?</v>
      </c>
      <c r="AM5" s="636" t="e">
        <f ca="1">+_xll.BDH($B$1,$C$1,AM8,AM8, "days=a", "fill=p")/100</f>
        <v>#NAME?</v>
      </c>
      <c r="AN5" s="636" t="e">
        <f ca="1">+_xll.BDH($B$1,$C$1,AN8,AN8, "days=a", "fill=p")/100</f>
        <v>#NAME?</v>
      </c>
      <c r="AO5" s="636" t="e">
        <f ca="1">+_xll.BDH($B$1,$C$1,AO8,AO8, "days=a", "fill=p")/100</f>
        <v>#NAME?</v>
      </c>
      <c r="AP5" s="636" t="e">
        <f ca="1">+_xll.BDH($B$1,$C$1,AP8,AP8, "days=a", "fill=p")/100</f>
        <v>#NAME?</v>
      </c>
      <c r="AQ5" s="636" t="e">
        <f ca="1">+_xll.BDH($B$1,$C$1,AQ8,AQ8, "days=a", "fill=p")/100</f>
        <v>#NAME?</v>
      </c>
      <c r="AR5" s="636" t="e">
        <f ca="1">+_xll.BDH($B$1,$C$1,AR8,AR8, "days=a", "fill=p")/100</f>
        <v>#NAME?</v>
      </c>
      <c r="AS5" s="636" t="e">
        <f ca="1">+_xll.BDH($B$1,$C$1,AS8,AS8, "days=a", "fill=p")/100</f>
        <v>#NAME?</v>
      </c>
      <c r="AT5" s="636" t="e">
        <f ca="1">+_xll.BDH($B$1,$C$1,AT8,AT8, "days=a", "fill=p")/100</f>
        <v>#NAME?</v>
      </c>
      <c r="AU5" s="636" t="e">
        <f ca="1">+_xll.BDH($B$1,$C$1,AU8,AU8, "days=a", "fill=p")/100</f>
        <v>#NAME?</v>
      </c>
      <c r="AV5" s="636" t="e">
        <f ca="1">+_xll.BDH($B$1,$C$1,AV8,AV8, "days=a", "fill=p")/100</f>
        <v>#NAME?</v>
      </c>
      <c r="AW5" s="636" t="e">
        <f ca="1">+_xll.BDH($B$1,$C$1,AW8,AW8, "days=a", "fill=p")/100</f>
        <v>#NAME?</v>
      </c>
      <c r="AX5" s="636" t="e">
        <f ca="1">+_xll.BDH($B$1,$C$1,AX8,AX8, "days=a", "fill=p")/100</f>
        <v>#NAME?</v>
      </c>
      <c r="AY5" s="636" t="e">
        <f ca="1">+_xll.BDH($B$1,$C$1,AY8,AY8, "days=a", "fill=p")/100</f>
        <v>#NAME?</v>
      </c>
      <c r="AZ5" s="636" t="e">
        <f ca="1">+_xll.BDH($B$1,$C$1,AZ8,AZ8, "days=a", "fill=p")/100</f>
        <v>#NAME?</v>
      </c>
      <c r="BA5" s="636" t="e">
        <f ca="1">+_xll.BDH($B$1,$C$1,BA8,BA8, "days=a", "fill=p")/100</f>
        <v>#NAME?</v>
      </c>
      <c r="BB5" s="636" t="e">
        <f ca="1">+_xll.BDH($B$1,$C$1,BB8,BB8, "days=a", "fill=p")/100</f>
        <v>#NAME?</v>
      </c>
      <c r="BC5" s="636" t="e">
        <f ca="1">+_xll.BDH($B$1,$C$1,BC8,BC8, "days=a", "fill=p")/100</f>
        <v>#NAME?</v>
      </c>
      <c r="BD5" s="636" t="e">
        <f ca="1">+_xll.BDH($B$1,$C$1,BD8,BD8, "days=a", "fill=p")/100</f>
        <v>#NAME?</v>
      </c>
      <c r="BE5" s="636" t="e">
        <f ca="1">+_xll.BDH($B$1,$C$1,BE8,BE8, "days=a", "fill=p")/100</f>
        <v>#NAME?</v>
      </c>
      <c r="BF5" s="636" t="e">
        <f ca="1">+_xll.BDH($B$1,$C$1,BF8,BF8, "days=a", "fill=p")/100</f>
        <v>#NAME?</v>
      </c>
      <c r="BG5" s="636" t="e">
        <f ca="1">+_xll.BDH($B$1,$C$1,BG8,BG8, "days=a", "fill=p")/100</f>
        <v>#NAME?</v>
      </c>
      <c r="BH5" s="636" t="e">
        <f ca="1">+_xll.BDH($B$1,$C$1,BH8,BH8, "days=a", "fill=p")/100</f>
        <v>#NAME?</v>
      </c>
      <c r="BI5" s="636" t="e">
        <f ca="1">+_xll.BDH($B$1,$C$1,BI8,BI8, "days=a", "fill=p")/100</f>
        <v>#NAME?</v>
      </c>
      <c r="BJ5" s="636" t="e">
        <f ca="1">+_xll.BDH($B$1,$C$1,BJ8,BJ8, "days=a", "fill=p")/100</f>
        <v>#NAME?</v>
      </c>
      <c r="BK5" s="636" t="e">
        <f ca="1">+_xll.BDH($B$1,$C$1,BK8,BK8, "days=a", "fill=p")/100</f>
        <v>#NAME?</v>
      </c>
      <c r="BL5" s="637" t="e">
        <f ca="1">+_xll.BDP($B$1,$C$1)/100</f>
        <v>#NAME?</v>
      </c>
      <c r="BM5" s="637" t="e">
        <f ca="1">+_xll.BDP($B$1,$C$1)/100</f>
        <v>#NAME?</v>
      </c>
      <c r="BN5" s="637" t="e">
        <f ca="1">+_xll.BDP($B$1,$C$1)/100</f>
        <v>#NAME?</v>
      </c>
      <c r="BO5" s="637" t="e">
        <f ca="1">+_xll.BDP($B$1,$C$1)/100</f>
        <v>#NAME?</v>
      </c>
      <c r="BP5" s="637" t="e">
        <f ca="1">+_xll.BDP($B$1,$C$1)/100</f>
        <v>#NAME?</v>
      </c>
      <c r="BQ5" s="637" t="e">
        <f ca="1">+_xll.BDP($B$1,$C$1)/100</f>
        <v>#NAME?</v>
      </c>
      <c r="BR5" s="637" t="e">
        <f ca="1">+_xll.BDP($B$1,$C$1)/100</f>
        <v>#NAME?</v>
      </c>
      <c r="BS5" s="637" t="e">
        <f ca="1">+_xll.BDP($B$1,$C$1)/100</f>
        <v>#NAME?</v>
      </c>
      <c r="BT5" s="637" t="e">
        <f ca="1">+_xll.BDP($B$1,$C$1)/100</f>
        <v>#NAME?</v>
      </c>
    </row>
    <row r="7" spans="1:72">
      <c r="E7" s="159" t="s">
        <v>133</v>
      </c>
      <c r="F7" s="160" t="s">
        <v>133</v>
      </c>
      <c r="G7" s="160" t="s">
        <v>133</v>
      </c>
      <c r="H7" s="161" t="s">
        <v>321</v>
      </c>
      <c r="I7" s="161" t="s">
        <v>322</v>
      </c>
      <c r="J7" s="161" t="s">
        <v>323</v>
      </c>
      <c r="K7" s="161" t="s">
        <v>324</v>
      </c>
      <c r="L7" s="160" t="s">
        <v>133</v>
      </c>
      <c r="M7" s="161" t="s">
        <v>321</v>
      </c>
      <c r="N7" s="161" t="s">
        <v>322</v>
      </c>
      <c r="O7" s="161" t="s">
        <v>323</v>
      </c>
      <c r="P7" s="161" t="s">
        <v>324</v>
      </c>
      <c r="Q7" s="160" t="s">
        <v>133</v>
      </c>
      <c r="R7" s="161" t="s">
        <v>321</v>
      </c>
      <c r="S7" s="161" t="s">
        <v>322</v>
      </c>
      <c r="T7" s="161" t="s">
        <v>323</v>
      </c>
      <c r="U7" s="161" t="s">
        <v>324</v>
      </c>
      <c r="V7" s="160" t="s">
        <v>133</v>
      </c>
      <c r="W7" s="161" t="s">
        <v>321</v>
      </c>
      <c r="X7" s="161" t="s">
        <v>322</v>
      </c>
      <c r="Y7" s="161" t="s">
        <v>323</v>
      </c>
      <c r="Z7" s="161" t="s">
        <v>325</v>
      </c>
      <c r="AA7" s="160" t="s">
        <v>134</v>
      </c>
      <c r="AB7" s="161" t="s">
        <v>326</v>
      </c>
      <c r="AC7" s="161" t="s">
        <v>327</v>
      </c>
      <c r="AD7" s="161" t="s">
        <v>328</v>
      </c>
      <c r="AE7" s="161" t="s">
        <v>325</v>
      </c>
      <c r="AF7" s="160" t="s">
        <v>134</v>
      </c>
      <c r="AG7" s="161" t="s">
        <v>326</v>
      </c>
      <c r="AH7" s="161" t="s">
        <v>327</v>
      </c>
      <c r="AI7" s="161" t="s">
        <v>328</v>
      </c>
      <c r="AJ7" s="161" t="s">
        <v>325</v>
      </c>
      <c r="AK7" s="160" t="s">
        <v>134</v>
      </c>
      <c r="AL7" s="161" t="s">
        <v>326</v>
      </c>
      <c r="AM7" s="161" t="s">
        <v>327</v>
      </c>
      <c r="AN7" s="161" t="s">
        <v>328</v>
      </c>
      <c r="AO7" s="161" t="s">
        <v>325</v>
      </c>
      <c r="AP7" s="160" t="s">
        <v>134</v>
      </c>
      <c r="AQ7" s="161" t="s">
        <v>326</v>
      </c>
      <c r="AR7" s="161" t="s">
        <v>327</v>
      </c>
      <c r="AS7" s="161" t="s">
        <v>328</v>
      </c>
      <c r="AT7" s="161" t="s">
        <v>325</v>
      </c>
      <c r="AU7" s="160" t="s">
        <v>134</v>
      </c>
      <c r="AV7" s="161" t="s">
        <v>326</v>
      </c>
      <c r="AW7" s="161" t="s">
        <v>327</v>
      </c>
      <c r="AX7" s="161" t="s">
        <v>328</v>
      </c>
      <c r="AY7" s="161" t="s">
        <v>325</v>
      </c>
      <c r="AZ7" s="160" t="s">
        <v>134</v>
      </c>
      <c r="BA7" s="161" t="s">
        <v>326</v>
      </c>
      <c r="BB7" s="161" t="s">
        <v>327</v>
      </c>
      <c r="BC7" s="161" t="s">
        <v>328</v>
      </c>
      <c r="BD7" s="161" t="s">
        <v>325</v>
      </c>
      <c r="BE7" s="160" t="s">
        <v>134</v>
      </c>
      <c r="BF7" s="161" t="s">
        <v>326</v>
      </c>
      <c r="BG7" s="161" t="s">
        <v>327</v>
      </c>
      <c r="BH7" s="161" t="s">
        <v>327</v>
      </c>
      <c r="BI7" s="161" t="s">
        <v>325</v>
      </c>
      <c r="BJ7" s="160" t="s">
        <v>134</v>
      </c>
      <c r="BK7" s="161" t="s">
        <v>326</v>
      </c>
      <c r="BL7" s="348" t="s">
        <v>327</v>
      </c>
      <c r="BM7" s="348" t="s">
        <v>328</v>
      </c>
      <c r="BN7" s="348" t="s">
        <v>325</v>
      </c>
      <c r="BO7" s="349" t="s">
        <v>134</v>
      </c>
      <c r="BP7" s="348" t="s">
        <v>326</v>
      </c>
      <c r="BQ7" s="348" t="s">
        <v>327</v>
      </c>
      <c r="BR7" s="348" t="s">
        <v>328</v>
      </c>
      <c r="BS7" s="348" t="s">
        <v>325</v>
      </c>
      <c r="BT7" s="349" t="s">
        <v>134</v>
      </c>
    </row>
    <row r="8" spans="1:72">
      <c r="B8" s="21" t="s">
        <v>329</v>
      </c>
      <c r="E8" s="639">
        <v>37256</v>
      </c>
      <c r="F8" s="639">
        <f>EOMONTH(E8,12)</f>
        <v>37621</v>
      </c>
      <c r="G8" s="639">
        <f>EOMONTH(F8,12)</f>
        <v>37986</v>
      </c>
      <c r="H8" s="123">
        <f>EOMONTH(G8,3)</f>
        <v>38077</v>
      </c>
      <c r="I8" s="123">
        <f>EOMONTH(H8,3)</f>
        <v>38168</v>
      </c>
      <c r="J8" s="123">
        <f>EOMONTH(I8,3)</f>
        <v>38260</v>
      </c>
      <c r="K8" s="123">
        <f>EOMONTH(J8,3)</f>
        <v>38352</v>
      </c>
      <c r="L8" s="639">
        <f>EOMONTH(G8,12)</f>
        <v>38352</v>
      </c>
      <c r="M8" s="123">
        <f>EOMONTH(L8,3)</f>
        <v>38442</v>
      </c>
      <c r="N8" s="123">
        <f>EOMONTH(M8,3)</f>
        <v>38533</v>
      </c>
      <c r="O8" s="123">
        <f>EOMONTH(N8,3)</f>
        <v>38625</v>
      </c>
      <c r="P8" s="123">
        <f>EOMONTH(O8,3)</f>
        <v>38717</v>
      </c>
      <c r="Q8" s="639">
        <f>EOMONTH(L8,12)</f>
        <v>38717</v>
      </c>
      <c r="R8" s="123">
        <f>EOMONTH(Q8,3)</f>
        <v>38807</v>
      </c>
      <c r="S8" s="123">
        <f>EOMONTH(R8,3)</f>
        <v>38898</v>
      </c>
      <c r="T8" s="123">
        <f>EOMONTH(S8,3)</f>
        <v>38990</v>
      </c>
      <c r="U8" s="123">
        <f>EOMONTH(T8,3)</f>
        <v>39082</v>
      </c>
      <c r="V8" s="639">
        <f>EOMONTH(Q8,12)</f>
        <v>39082</v>
      </c>
      <c r="W8" s="123">
        <f>EOMONTH(V8,3)</f>
        <v>39172</v>
      </c>
      <c r="X8" s="123">
        <f>EOMONTH(W8,3)</f>
        <v>39263</v>
      </c>
      <c r="Y8" s="123">
        <f>EOMONTH(X8,3)</f>
        <v>39355</v>
      </c>
      <c r="Z8" s="123">
        <f>EOMONTH(Y8,3)</f>
        <v>39447</v>
      </c>
      <c r="AA8" s="639">
        <f>+Z8</f>
        <v>39447</v>
      </c>
      <c r="AB8" s="123">
        <f>EOMONTH(AA8,3)</f>
        <v>39538</v>
      </c>
      <c r="AC8" s="123">
        <f>EOMONTH(AB8,3)</f>
        <v>39629</v>
      </c>
      <c r="AD8" s="123">
        <f>EOMONTH(AC8,3)</f>
        <v>39721</v>
      </c>
      <c r="AE8" s="123">
        <f>EOMONTH(AD8,3)</f>
        <v>39813</v>
      </c>
      <c r="AF8" s="639">
        <f>+AE8</f>
        <v>39813</v>
      </c>
      <c r="AG8" s="123">
        <f>EOMONTH(AF8,3)</f>
        <v>39903</v>
      </c>
      <c r="AH8" s="123">
        <f>EOMONTH(AG8,3)</f>
        <v>39994</v>
      </c>
      <c r="AI8" s="123">
        <f>EOMONTH(AH8,3)</f>
        <v>40086</v>
      </c>
      <c r="AJ8" s="123">
        <f>EOMONTH(AI8,3)</f>
        <v>40178</v>
      </c>
      <c r="AK8" s="639">
        <f>+AJ8</f>
        <v>40178</v>
      </c>
      <c r="AL8" s="123">
        <f>EOMONTH(AK8,3)</f>
        <v>40268</v>
      </c>
      <c r="AM8" s="123">
        <f>EOMONTH(AL8,3)</f>
        <v>40359</v>
      </c>
      <c r="AN8" s="123">
        <f>EOMONTH(AM8,3)</f>
        <v>40451</v>
      </c>
      <c r="AO8" s="123">
        <f>EOMONTH(AN8,3)</f>
        <v>40543</v>
      </c>
      <c r="AP8" s="639">
        <f>+AO8</f>
        <v>40543</v>
      </c>
      <c r="AQ8" s="123">
        <f>EOMONTH(AP8,3)</f>
        <v>40633</v>
      </c>
      <c r="AR8" s="123">
        <f>EOMONTH(AQ8,3)</f>
        <v>40724</v>
      </c>
      <c r="AS8" s="123">
        <f>EOMONTH(AR8,3)</f>
        <v>40816</v>
      </c>
      <c r="AT8" s="123">
        <f>EOMONTH(AS8,3)</f>
        <v>40908</v>
      </c>
      <c r="AU8" s="639">
        <f>+AT8</f>
        <v>40908</v>
      </c>
      <c r="AV8" s="123">
        <f>EOMONTH(AU8,3)</f>
        <v>40999</v>
      </c>
      <c r="AW8" s="123">
        <f>EOMONTH(AV8,3)</f>
        <v>41090</v>
      </c>
      <c r="AX8" s="123">
        <f>EOMONTH(AW8,3)</f>
        <v>41182</v>
      </c>
      <c r="AY8" s="123">
        <f>EOMONTH(AX8,3)</f>
        <v>41274</v>
      </c>
      <c r="AZ8" s="639">
        <f>+AY8</f>
        <v>41274</v>
      </c>
      <c r="BA8" s="123">
        <f>EOMONTH(AZ8,3)</f>
        <v>41364</v>
      </c>
      <c r="BB8" s="123">
        <f>EOMONTH(BA8,3)</f>
        <v>41455</v>
      </c>
      <c r="BC8" s="123">
        <f>EOMONTH(BB8,3)</f>
        <v>41547</v>
      </c>
      <c r="BD8" s="123">
        <f>EOMONTH(BC8,3)</f>
        <v>41639</v>
      </c>
      <c r="BE8" s="639">
        <f>+BD8</f>
        <v>41639</v>
      </c>
      <c r="BF8" s="123">
        <f>EOMONTH(BE8,3)</f>
        <v>41729</v>
      </c>
      <c r="BG8" s="123">
        <f>EOMONTH(BF8,3)</f>
        <v>41820</v>
      </c>
      <c r="BH8" s="123">
        <f>EOMONTH(BG8,3)</f>
        <v>41912</v>
      </c>
      <c r="BI8" s="123">
        <f>EOMONTH(BH8,3)</f>
        <v>42004</v>
      </c>
      <c r="BJ8" s="639">
        <f>+BI8</f>
        <v>42004</v>
      </c>
      <c r="BK8" s="123">
        <f>EOMONTH(BJ8,3)</f>
        <v>42094</v>
      </c>
      <c r="BL8" s="362">
        <f>EOMONTH(BK8,3)</f>
        <v>42185</v>
      </c>
      <c r="BM8" s="362">
        <f>EOMONTH(BL8,3)</f>
        <v>42277</v>
      </c>
      <c r="BN8" s="362">
        <f>EOMONTH(BM8,3)</f>
        <v>42369</v>
      </c>
      <c r="BO8" s="363">
        <f>+BN8</f>
        <v>42369</v>
      </c>
      <c r="BP8" s="362">
        <f>EOMONTH(BO8,3)</f>
        <v>42460</v>
      </c>
      <c r="BQ8" s="362">
        <f>EOMONTH(BP8,3)</f>
        <v>42551</v>
      </c>
      <c r="BR8" s="362">
        <f>EOMONTH(BQ8,3)</f>
        <v>42643</v>
      </c>
      <c r="BS8" s="362">
        <f>EOMONTH(BR8,3)</f>
        <v>42735</v>
      </c>
      <c r="BT8" s="363">
        <f>+BS8</f>
        <v>42735</v>
      </c>
    </row>
    <row r="9" spans="1:72">
      <c r="E9" s="343"/>
      <c r="F9" s="343"/>
      <c r="G9" s="343"/>
      <c r="H9" s="344"/>
      <c r="I9" s="344"/>
      <c r="J9" s="344"/>
      <c r="K9" s="344"/>
      <c r="L9" s="343"/>
      <c r="M9" s="344"/>
      <c r="N9" s="344"/>
      <c r="O9" s="344"/>
      <c r="P9" s="344"/>
      <c r="Q9" s="343"/>
      <c r="R9" s="344"/>
      <c r="S9" s="344"/>
      <c r="T9" s="344"/>
      <c r="U9" s="344"/>
      <c r="V9" s="343"/>
      <c r="W9" s="344"/>
      <c r="X9" s="344"/>
      <c r="Y9" s="344"/>
      <c r="Z9" s="344"/>
      <c r="AA9" s="343"/>
      <c r="AB9" s="344"/>
      <c r="AC9" s="344"/>
      <c r="AD9" s="344"/>
      <c r="AE9" s="344"/>
      <c r="AF9" s="343"/>
      <c r="AG9" s="344"/>
      <c r="AH9" s="344"/>
      <c r="AI9" s="344"/>
      <c r="AJ9" s="344"/>
      <c r="AK9" s="343"/>
      <c r="AL9" s="344"/>
      <c r="AM9" s="344"/>
      <c r="AN9" s="344"/>
      <c r="AO9" s="344"/>
      <c r="AP9" s="343"/>
      <c r="AQ9" s="344"/>
      <c r="AR9" s="344"/>
      <c r="AS9" s="344"/>
      <c r="AT9" s="344"/>
      <c r="AU9" s="343"/>
      <c r="AV9" s="344"/>
      <c r="AW9" s="344"/>
      <c r="AX9" s="344"/>
      <c r="AY9" s="344"/>
      <c r="AZ9" s="343"/>
      <c r="BA9" s="344"/>
      <c r="BB9" s="344"/>
      <c r="BC9" s="344"/>
      <c r="BD9" s="344"/>
      <c r="BE9" s="343"/>
      <c r="BF9" s="344"/>
      <c r="BG9" s="344"/>
      <c r="BH9" s="344"/>
      <c r="BI9" s="344"/>
      <c r="BJ9" s="343"/>
      <c r="BK9" s="344"/>
      <c r="BL9" s="350"/>
      <c r="BM9" s="350"/>
      <c r="BN9" s="350"/>
      <c r="BO9" s="351"/>
      <c r="BP9" s="350"/>
      <c r="BQ9" s="350"/>
      <c r="BR9" s="350"/>
      <c r="BS9" s="350"/>
      <c r="BT9" s="351"/>
    </row>
    <row r="10" spans="1:72">
      <c r="A10" s="162">
        <v>0.05</v>
      </c>
      <c r="B10" s="124" t="s">
        <v>330</v>
      </c>
      <c r="E10" s="345"/>
      <c r="F10" s="145"/>
      <c r="G10" s="145"/>
      <c r="H10" s="342"/>
      <c r="I10" s="37"/>
      <c r="J10" s="37"/>
      <c r="K10" s="37"/>
      <c r="L10" s="145"/>
      <c r="M10" s="345"/>
      <c r="N10" s="346"/>
      <c r="O10" s="346"/>
      <c r="P10" s="346"/>
      <c r="Q10" s="145"/>
      <c r="R10" s="342"/>
      <c r="S10" s="37"/>
      <c r="T10" s="37"/>
      <c r="U10" s="168"/>
      <c r="V10" s="145"/>
      <c r="W10" s="342"/>
      <c r="X10" s="37"/>
      <c r="Y10" s="37"/>
      <c r="Z10" s="168"/>
      <c r="AA10" s="145"/>
      <c r="AB10" s="346"/>
      <c r="AC10" s="346"/>
      <c r="AD10" s="346"/>
      <c r="AE10" s="346"/>
      <c r="AF10" s="633">
        <f t="shared" ref="AF10:AF15" si="0">+AE10</f>
        <v>0</v>
      </c>
      <c r="AG10" s="346"/>
      <c r="AH10" s="346"/>
      <c r="AI10" s="346"/>
      <c r="AJ10" s="346"/>
      <c r="AK10" s="633">
        <f t="shared" ref="AK10:AK15" si="1">+AJ10</f>
        <v>0</v>
      </c>
      <c r="AL10" s="346"/>
      <c r="AM10" s="346"/>
      <c r="AN10" s="346"/>
      <c r="AO10" s="346"/>
      <c r="AP10" s="633">
        <f t="shared" ref="AP10:AP15" si="2">+AO10</f>
        <v>0</v>
      </c>
      <c r="AQ10" s="346"/>
      <c r="AR10" s="346"/>
      <c r="AS10" s="346"/>
      <c r="AT10" s="37"/>
      <c r="AU10" s="633"/>
      <c r="AV10" s="37"/>
      <c r="AW10" s="37"/>
      <c r="AX10" s="346"/>
      <c r="AY10" s="37"/>
      <c r="AZ10" s="633"/>
      <c r="BA10" s="37"/>
      <c r="BB10" s="37"/>
      <c r="BC10" s="346"/>
      <c r="BD10" s="37"/>
      <c r="BE10" s="633"/>
      <c r="BF10" s="37"/>
      <c r="BG10" s="37"/>
      <c r="BH10" s="37"/>
      <c r="BI10" s="37"/>
      <c r="BJ10" s="633"/>
      <c r="BK10" s="37"/>
      <c r="BL10" s="38">
        <f t="shared" ref="BL10:BL15" si="3">BK10-BL19</f>
        <v>0</v>
      </c>
      <c r="BM10" s="38">
        <f t="shared" ref="BM10:BM15" si="4">BL10-BM19</f>
        <v>0</v>
      </c>
      <c r="BN10" s="38">
        <f t="shared" ref="BN10:BN15" si="5">BM10-BN19</f>
        <v>0</v>
      </c>
      <c r="BO10" s="341">
        <f t="shared" ref="BO10:BO15" si="6">+BN10</f>
        <v>0</v>
      </c>
      <c r="BP10" s="38">
        <f t="shared" ref="BP10:BP15" si="7">BO10-BP19</f>
        <v>0</v>
      </c>
      <c r="BQ10" s="38">
        <f t="shared" ref="BQ10:BQ15" si="8">BP10-BQ19</f>
        <v>0</v>
      </c>
      <c r="BR10" s="38">
        <f t="shared" ref="BR10:BR15" si="9">BQ10-BR19</f>
        <v>0</v>
      </c>
      <c r="BS10" s="38">
        <f t="shared" ref="BS10:BS15" si="10">BR10-BS19</f>
        <v>0</v>
      </c>
      <c r="BT10" s="341">
        <f t="shared" ref="BT10:BT15" si="11">+BS10</f>
        <v>0</v>
      </c>
    </row>
    <row r="11" spans="1:72">
      <c r="A11" s="162">
        <v>0.05</v>
      </c>
      <c r="B11" s="124" t="s">
        <v>331</v>
      </c>
      <c r="E11" s="145"/>
      <c r="F11" s="145"/>
      <c r="G11" s="145"/>
      <c r="H11" s="342"/>
      <c r="I11" s="37"/>
      <c r="J11" s="37"/>
      <c r="K11" s="37"/>
      <c r="L11" s="145"/>
      <c r="M11" s="342"/>
      <c r="N11" s="37"/>
      <c r="O11" s="37"/>
      <c r="P11" s="37"/>
      <c r="Q11" s="145"/>
      <c r="R11" s="342"/>
      <c r="S11" s="37"/>
      <c r="T11" s="37"/>
      <c r="U11" s="37"/>
      <c r="V11" s="145"/>
      <c r="W11" s="342"/>
      <c r="X11" s="37"/>
      <c r="Y11" s="37"/>
      <c r="Z11" s="37"/>
      <c r="AA11" s="145"/>
      <c r="AB11" s="37"/>
      <c r="AC11" s="37"/>
      <c r="AD11" s="37"/>
      <c r="AE11" s="37"/>
      <c r="AF11" s="145">
        <f t="shared" si="0"/>
        <v>0</v>
      </c>
      <c r="AG11" s="37"/>
      <c r="AH11" s="37"/>
      <c r="AI11" s="37"/>
      <c r="AJ11" s="37"/>
      <c r="AK11" s="145">
        <f t="shared" si="1"/>
        <v>0</v>
      </c>
      <c r="AL11" s="37"/>
      <c r="AM11" s="37"/>
      <c r="AN11" s="37"/>
      <c r="AO11" s="37"/>
      <c r="AP11" s="145">
        <f t="shared" si="2"/>
        <v>0</v>
      </c>
      <c r="AQ11" s="37"/>
      <c r="AR11" s="37"/>
      <c r="AS11" s="37"/>
      <c r="AT11" s="37"/>
      <c r="AU11" s="145"/>
      <c r="AV11" s="37"/>
      <c r="AW11" s="37"/>
      <c r="AX11" s="37"/>
      <c r="AY11" s="37"/>
      <c r="AZ11" s="145"/>
      <c r="BA11" s="37"/>
      <c r="BB11" s="37"/>
      <c r="BC11" s="37"/>
      <c r="BD11" s="37"/>
      <c r="BE11" s="145"/>
      <c r="BF11" s="37"/>
      <c r="BG11" s="37"/>
      <c r="BH11" s="37"/>
      <c r="BI11" s="37"/>
      <c r="BJ11" s="145"/>
      <c r="BK11" s="37"/>
      <c r="BL11" s="38">
        <f t="shared" si="3"/>
        <v>0</v>
      </c>
      <c r="BM11" s="38">
        <f t="shared" si="4"/>
        <v>0</v>
      </c>
      <c r="BN11" s="38">
        <f t="shared" si="5"/>
        <v>0</v>
      </c>
      <c r="BO11" s="281">
        <f t="shared" si="6"/>
        <v>0</v>
      </c>
      <c r="BP11" s="38">
        <f t="shared" si="7"/>
        <v>0</v>
      </c>
      <c r="BQ11" s="38">
        <f t="shared" si="8"/>
        <v>0</v>
      </c>
      <c r="BR11" s="38">
        <f t="shared" si="9"/>
        <v>0</v>
      </c>
      <c r="BS11" s="38">
        <f t="shared" si="10"/>
        <v>0</v>
      </c>
      <c r="BT11" s="281">
        <f t="shared" si="11"/>
        <v>0</v>
      </c>
    </row>
    <row r="12" spans="1:72">
      <c r="A12" s="162">
        <v>0.05</v>
      </c>
      <c r="B12" s="124" t="s">
        <v>331</v>
      </c>
      <c r="E12" s="145"/>
      <c r="F12" s="145"/>
      <c r="G12" s="145"/>
      <c r="H12" s="342"/>
      <c r="I12" s="37"/>
      <c r="J12" s="37"/>
      <c r="K12" s="37"/>
      <c r="L12" s="145"/>
      <c r="M12" s="342"/>
      <c r="N12" s="37"/>
      <c r="O12" s="37"/>
      <c r="P12" s="37"/>
      <c r="Q12" s="145"/>
      <c r="R12" s="342"/>
      <c r="S12" s="37"/>
      <c r="T12" s="37"/>
      <c r="U12" s="37"/>
      <c r="V12" s="145"/>
      <c r="W12" s="342"/>
      <c r="X12" s="37"/>
      <c r="Y12" s="37"/>
      <c r="Z12" s="37"/>
      <c r="AA12" s="145"/>
      <c r="AB12" s="37"/>
      <c r="AC12" s="37"/>
      <c r="AD12" s="37"/>
      <c r="AE12" s="37"/>
      <c r="AF12" s="145">
        <f t="shared" si="0"/>
        <v>0</v>
      </c>
      <c r="AG12" s="37"/>
      <c r="AH12" s="37"/>
      <c r="AI12" s="37"/>
      <c r="AJ12" s="37"/>
      <c r="AK12" s="145">
        <f t="shared" si="1"/>
        <v>0</v>
      </c>
      <c r="AL12" s="37"/>
      <c r="AM12" s="37"/>
      <c r="AN12" s="37"/>
      <c r="AO12" s="37"/>
      <c r="AP12" s="145">
        <f t="shared" si="2"/>
        <v>0</v>
      </c>
      <c r="AQ12" s="37"/>
      <c r="AR12" s="37"/>
      <c r="AS12" s="37"/>
      <c r="AT12" s="37"/>
      <c r="AU12" s="145"/>
      <c r="AV12" s="37"/>
      <c r="AW12" s="37"/>
      <c r="AX12" s="37"/>
      <c r="AY12" s="37"/>
      <c r="AZ12" s="145"/>
      <c r="BA12" s="37"/>
      <c r="BB12" s="37"/>
      <c r="BC12" s="37"/>
      <c r="BD12" s="37"/>
      <c r="BE12" s="145"/>
      <c r="BF12" s="37"/>
      <c r="BG12" s="37"/>
      <c r="BH12" s="37"/>
      <c r="BI12" s="37"/>
      <c r="BJ12" s="145"/>
      <c r="BK12" s="37"/>
      <c r="BL12" s="38">
        <f t="shared" si="3"/>
        <v>0</v>
      </c>
      <c r="BM12" s="38">
        <f t="shared" si="4"/>
        <v>0</v>
      </c>
      <c r="BN12" s="38">
        <f t="shared" si="5"/>
        <v>0</v>
      </c>
      <c r="BO12" s="281">
        <f t="shared" si="6"/>
        <v>0</v>
      </c>
      <c r="BP12" s="38">
        <f t="shared" si="7"/>
        <v>0</v>
      </c>
      <c r="BQ12" s="38">
        <f t="shared" si="8"/>
        <v>0</v>
      </c>
      <c r="BR12" s="38">
        <f t="shared" si="9"/>
        <v>0</v>
      </c>
      <c r="BS12" s="38">
        <f t="shared" si="10"/>
        <v>0</v>
      </c>
      <c r="BT12" s="281">
        <f t="shared" si="11"/>
        <v>0</v>
      </c>
    </row>
    <row r="13" spans="1:72">
      <c r="A13" s="162">
        <v>7.0000000000000007E-2</v>
      </c>
      <c r="B13" s="124" t="s">
        <v>332</v>
      </c>
      <c r="E13" s="145"/>
      <c r="F13" s="145"/>
      <c r="G13" s="145"/>
      <c r="H13" s="342"/>
      <c r="I13" s="37"/>
      <c r="J13" s="37"/>
      <c r="K13" s="37"/>
      <c r="L13" s="145"/>
      <c r="M13" s="342"/>
      <c r="N13" s="37"/>
      <c r="O13" s="37"/>
      <c r="P13" s="37"/>
      <c r="Q13" s="145"/>
      <c r="R13" s="342"/>
      <c r="S13" s="37"/>
      <c r="T13" s="37"/>
      <c r="U13" s="37"/>
      <c r="V13" s="145"/>
      <c r="W13" s="342"/>
      <c r="X13" s="37"/>
      <c r="Y13" s="37"/>
      <c r="Z13" s="37"/>
      <c r="AA13" s="145"/>
      <c r="AB13" s="37"/>
      <c r="AC13" s="37"/>
      <c r="AD13" s="37"/>
      <c r="AE13" s="37"/>
      <c r="AF13" s="145">
        <f t="shared" si="0"/>
        <v>0</v>
      </c>
      <c r="AG13" s="37"/>
      <c r="AH13" s="37"/>
      <c r="AI13" s="37"/>
      <c r="AJ13" s="37"/>
      <c r="AK13" s="145">
        <f t="shared" si="1"/>
        <v>0</v>
      </c>
      <c r="AL13" s="37"/>
      <c r="AM13" s="37"/>
      <c r="AN13" s="37"/>
      <c r="AO13" s="37"/>
      <c r="AP13" s="145">
        <f t="shared" si="2"/>
        <v>0</v>
      </c>
      <c r="AQ13" s="37"/>
      <c r="AR13" s="37"/>
      <c r="AS13" s="37"/>
      <c r="AT13" s="37"/>
      <c r="AU13" s="145"/>
      <c r="AV13" s="37"/>
      <c r="AW13" s="37"/>
      <c r="AX13" s="37"/>
      <c r="AY13" s="37"/>
      <c r="AZ13" s="145"/>
      <c r="BA13" s="37"/>
      <c r="BB13" s="37"/>
      <c r="BC13" s="37"/>
      <c r="BD13" s="37"/>
      <c r="BE13" s="145"/>
      <c r="BF13" s="37"/>
      <c r="BG13" s="37"/>
      <c r="BH13" s="37"/>
      <c r="BI13" s="37"/>
      <c r="BJ13" s="145"/>
      <c r="BK13" s="37"/>
      <c r="BL13" s="38">
        <f t="shared" si="3"/>
        <v>0</v>
      </c>
      <c r="BM13" s="38">
        <f t="shared" si="4"/>
        <v>0</v>
      </c>
      <c r="BN13" s="38">
        <f t="shared" si="5"/>
        <v>0</v>
      </c>
      <c r="BO13" s="281">
        <f t="shared" si="6"/>
        <v>0</v>
      </c>
      <c r="BP13" s="38">
        <f t="shared" si="7"/>
        <v>0</v>
      </c>
      <c r="BQ13" s="38">
        <f t="shared" si="8"/>
        <v>0</v>
      </c>
      <c r="BR13" s="38">
        <f t="shared" si="9"/>
        <v>0</v>
      </c>
      <c r="BS13" s="38">
        <f t="shared" si="10"/>
        <v>0</v>
      </c>
      <c r="BT13" s="281">
        <f t="shared" si="11"/>
        <v>0</v>
      </c>
    </row>
    <row r="14" spans="1:72">
      <c r="A14" s="162">
        <v>7.0000000000000007E-2</v>
      </c>
      <c r="B14" s="124" t="s">
        <v>332</v>
      </c>
      <c r="E14" s="145"/>
      <c r="F14" s="145"/>
      <c r="G14" s="145"/>
      <c r="H14" s="342"/>
      <c r="I14" s="37"/>
      <c r="J14" s="37"/>
      <c r="K14" s="37"/>
      <c r="L14" s="145"/>
      <c r="M14" s="342"/>
      <c r="N14" s="37"/>
      <c r="O14" s="37"/>
      <c r="P14" s="37"/>
      <c r="Q14" s="145"/>
      <c r="R14" s="342"/>
      <c r="S14" s="37"/>
      <c r="T14" s="37"/>
      <c r="U14" s="37"/>
      <c r="V14" s="145"/>
      <c r="W14" s="342"/>
      <c r="X14" s="37"/>
      <c r="Y14" s="37"/>
      <c r="Z14" s="37"/>
      <c r="AA14" s="145"/>
      <c r="AB14" s="37"/>
      <c r="AC14" s="37"/>
      <c r="AD14" s="37"/>
      <c r="AE14" s="37"/>
      <c r="AF14" s="145">
        <f t="shared" si="0"/>
        <v>0</v>
      </c>
      <c r="AG14" s="37"/>
      <c r="AH14" s="37"/>
      <c r="AI14" s="37"/>
      <c r="AJ14" s="37"/>
      <c r="AK14" s="145">
        <f t="shared" si="1"/>
        <v>0</v>
      </c>
      <c r="AL14" s="37"/>
      <c r="AM14" s="37"/>
      <c r="AN14" s="37"/>
      <c r="AO14" s="37"/>
      <c r="AP14" s="145">
        <f t="shared" si="2"/>
        <v>0</v>
      </c>
      <c r="AQ14" s="37"/>
      <c r="AR14" s="37"/>
      <c r="AS14" s="37"/>
      <c r="AT14" s="37"/>
      <c r="AU14" s="145"/>
      <c r="AV14" s="37"/>
      <c r="AW14" s="37"/>
      <c r="AX14" s="37"/>
      <c r="AY14" s="37"/>
      <c r="AZ14" s="145"/>
      <c r="BA14" s="37"/>
      <c r="BB14" s="37"/>
      <c r="BC14" s="37"/>
      <c r="BD14" s="37"/>
      <c r="BE14" s="145"/>
      <c r="BF14" s="37"/>
      <c r="BG14" s="37"/>
      <c r="BH14" s="37"/>
      <c r="BI14" s="37"/>
      <c r="BJ14" s="145"/>
      <c r="BK14" s="37"/>
      <c r="BL14" s="38">
        <f t="shared" si="3"/>
        <v>0</v>
      </c>
      <c r="BM14" s="38">
        <f t="shared" si="4"/>
        <v>0</v>
      </c>
      <c r="BN14" s="38">
        <f t="shared" si="5"/>
        <v>0</v>
      </c>
      <c r="BO14" s="281">
        <f t="shared" si="6"/>
        <v>0</v>
      </c>
      <c r="BP14" s="38">
        <f t="shared" si="7"/>
        <v>0</v>
      </c>
      <c r="BQ14" s="38">
        <f t="shared" si="8"/>
        <v>0</v>
      </c>
      <c r="BR14" s="38">
        <f t="shared" si="9"/>
        <v>0</v>
      </c>
      <c r="BS14" s="38">
        <f t="shared" si="10"/>
        <v>0</v>
      </c>
      <c r="BT14" s="281">
        <f t="shared" si="11"/>
        <v>0</v>
      </c>
    </row>
    <row r="15" spans="1:72">
      <c r="A15" s="162">
        <v>0.08</v>
      </c>
      <c r="B15" s="170" t="s">
        <v>333</v>
      </c>
      <c r="E15" s="172"/>
      <c r="F15" s="172"/>
      <c r="G15" s="172"/>
      <c r="H15" s="347"/>
      <c r="I15" s="39"/>
      <c r="J15" s="39"/>
      <c r="K15" s="39"/>
      <c r="L15" s="172"/>
      <c r="M15" s="347"/>
      <c r="N15" s="39"/>
      <c r="O15" s="39"/>
      <c r="P15" s="39"/>
      <c r="Q15" s="172"/>
      <c r="R15" s="347"/>
      <c r="S15" s="39"/>
      <c r="T15" s="39"/>
      <c r="U15" s="39"/>
      <c r="V15" s="172"/>
      <c r="W15" s="347"/>
      <c r="X15" s="39"/>
      <c r="Y15" s="39"/>
      <c r="Z15" s="39"/>
      <c r="AA15" s="172"/>
      <c r="AB15" s="39"/>
      <c r="AC15" s="39"/>
      <c r="AD15" s="39"/>
      <c r="AE15" s="39"/>
      <c r="AF15" s="172">
        <f t="shared" si="0"/>
        <v>0</v>
      </c>
      <c r="AG15" s="39"/>
      <c r="AH15" s="39"/>
      <c r="AI15" s="39"/>
      <c r="AJ15" s="39"/>
      <c r="AK15" s="172">
        <f t="shared" si="1"/>
        <v>0</v>
      </c>
      <c r="AL15" s="39"/>
      <c r="AM15" s="39"/>
      <c r="AN15" s="39"/>
      <c r="AO15" s="39"/>
      <c r="AP15" s="172">
        <f t="shared" si="2"/>
        <v>0</v>
      </c>
      <c r="AQ15" s="39"/>
      <c r="AR15" s="39"/>
      <c r="AS15" s="39"/>
      <c r="AT15" s="39"/>
      <c r="AU15" s="172"/>
      <c r="AV15" s="39"/>
      <c r="AW15" s="39"/>
      <c r="AX15" s="39"/>
      <c r="AY15" s="39"/>
      <c r="AZ15" s="172"/>
      <c r="BA15" s="39"/>
      <c r="BB15" s="39"/>
      <c r="BC15" s="39"/>
      <c r="BD15" s="39"/>
      <c r="BE15" s="172"/>
      <c r="BF15" s="39"/>
      <c r="BG15" s="39"/>
      <c r="BH15" s="39"/>
      <c r="BI15" s="39"/>
      <c r="BJ15" s="172"/>
      <c r="BK15" s="39"/>
      <c r="BL15" s="287">
        <f t="shared" si="3"/>
        <v>0</v>
      </c>
      <c r="BM15" s="287">
        <f t="shared" si="4"/>
        <v>0</v>
      </c>
      <c r="BN15" s="287">
        <f t="shared" si="5"/>
        <v>0</v>
      </c>
      <c r="BO15" s="284">
        <f t="shared" si="6"/>
        <v>0</v>
      </c>
      <c r="BP15" s="287">
        <f t="shared" si="7"/>
        <v>0</v>
      </c>
      <c r="BQ15" s="287">
        <f t="shared" si="8"/>
        <v>0</v>
      </c>
      <c r="BR15" s="287">
        <f t="shared" si="9"/>
        <v>0</v>
      </c>
      <c r="BS15" s="287">
        <f t="shared" si="10"/>
        <v>0</v>
      </c>
      <c r="BT15" s="284">
        <f t="shared" si="11"/>
        <v>0</v>
      </c>
    </row>
    <row r="16" spans="1:72">
      <c r="B16" s="21" t="s">
        <v>159</v>
      </c>
      <c r="E16" s="145">
        <f>SUM(E10:E15)</f>
        <v>0</v>
      </c>
      <c r="F16" s="145">
        <f>SUM(F10:F15)</f>
        <v>0</v>
      </c>
      <c r="G16" s="145">
        <f t="shared" ref="G16:AP16" si="12">SUM(G10:G15)</f>
        <v>0</v>
      </c>
      <c r="H16" s="342">
        <f t="shared" si="12"/>
        <v>0</v>
      </c>
      <c r="I16" s="37">
        <f t="shared" si="12"/>
        <v>0</v>
      </c>
      <c r="J16" s="37">
        <f t="shared" si="12"/>
        <v>0</v>
      </c>
      <c r="K16" s="37">
        <f t="shared" si="12"/>
        <v>0</v>
      </c>
      <c r="L16" s="145">
        <f t="shared" si="12"/>
        <v>0</v>
      </c>
      <c r="M16" s="342">
        <f t="shared" si="12"/>
        <v>0</v>
      </c>
      <c r="N16" s="37">
        <f t="shared" si="12"/>
        <v>0</v>
      </c>
      <c r="O16" s="37">
        <f t="shared" si="12"/>
        <v>0</v>
      </c>
      <c r="P16" s="37">
        <f t="shared" si="12"/>
        <v>0</v>
      </c>
      <c r="Q16" s="145">
        <f t="shared" si="12"/>
        <v>0</v>
      </c>
      <c r="R16" s="342">
        <f t="shared" si="12"/>
        <v>0</v>
      </c>
      <c r="S16" s="37">
        <f t="shared" si="12"/>
        <v>0</v>
      </c>
      <c r="T16" s="37">
        <f t="shared" si="12"/>
        <v>0</v>
      </c>
      <c r="U16" s="37">
        <f t="shared" si="12"/>
        <v>0</v>
      </c>
      <c r="V16" s="145">
        <f t="shared" si="12"/>
        <v>0</v>
      </c>
      <c r="W16" s="342">
        <f t="shared" si="12"/>
        <v>0</v>
      </c>
      <c r="X16" s="37">
        <f t="shared" si="12"/>
        <v>0</v>
      </c>
      <c r="Y16" s="37">
        <f t="shared" si="12"/>
        <v>0</v>
      </c>
      <c r="Z16" s="37">
        <f t="shared" si="12"/>
        <v>0</v>
      </c>
      <c r="AA16" s="145">
        <f t="shared" si="12"/>
        <v>0</v>
      </c>
      <c r="AB16" s="342">
        <f t="shared" si="12"/>
        <v>0</v>
      </c>
      <c r="AC16" s="37">
        <f t="shared" si="12"/>
        <v>0</v>
      </c>
      <c r="AD16" s="37">
        <f t="shared" si="12"/>
        <v>0</v>
      </c>
      <c r="AE16" s="37">
        <f t="shared" si="12"/>
        <v>0</v>
      </c>
      <c r="AF16" s="145">
        <f t="shared" si="12"/>
        <v>0</v>
      </c>
      <c r="AG16" s="37">
        <f>SUM(AG10:AG15)</f>
        <v>0</v>
      </c>
      <c r="AH16" s="37">
        <f>SUM(AH10:AH15)</f>
        <v>0</v>
      </c>
      <c r="AI16" s="37">
        <f>SUM(AI10:AI15)</f>
        <v>0</v>
      </c>
      <c r="AJ16" s="37">
        <f>SUM(AJ10:AJ15)</f>
        <v>0</v>
      </c>
      <c r="AK16" s="145">
        <f t="shared" si="12"/>
        <v>0</v>
      </c>
      <c r="AL16" s="37">
        <f t="shared" si="12"/>
        <v>0</v>
      </c>
      <c r="AM16" s="37">
        <f t="shared" si="12"/>
        <v>0</v>
      </c>
      <c r="AN16" s="37">
        <f t="shared" si="12"/>
        <v>0</v>
      </c>
      <c r="AO16" s="37">
        <f t="shared" si="12"/>
        <v>0</v>
      </c>
      <c r="AP16" s="145">
        <f t="shared" si="12"/>
        <v>0</v>
      </c>
      <c r="AQ16" s="37">
        <f t="shared" ref="AQ16:AW16" si="13">SUM(AQ10:AQ15)</f>
        <v>0</v>
      </c>
      <c r="AR16" s="37">
        <f t="shared" si="13"/>
        <v>0</v>
      </c>
      <c r="AS16" s="37">
        <f t="shared" si="13"/>
        <v>0</v>
      </c>
      <c r="AT16" s="37">
        <f t="shared" si="13"/>
        <v>0</v>
      </c>
      <c r="AU16" s="145">
        <f t="shared" si="13"/>
        <v>0</v>
      </c>
      <c r="AV16" s="37">
        <f t="shared" si="13"/>
        <v>0</v>
      </c>
      <c r="AW16" s="37">
        <f t="shared" si="13"/>
        <v>0</v>
      </c>
      <c r="AX16" s="37">
        <f t="shared" ref="AX16:BG16" si="14">SUM(AX10:AX15)</f>
        <v>0</v>
      </c>
      <c r="AY16" s="37">
        <f t="shared" si="14"/>
        <v>0</v>
      </c>
      <c r="AZ16" s="145">
        <f t="shared" si="14"/>
        <v>0</v>
      </c>
      <c r="BA16" s="37">
        <f t="shared" si="14"/>
        <v>0</v>
      </c>
      <c r="BB16" s="37">
        <f t="shared" si="14"/>
        <v>0</v>
      </c>
      <c r="BC16" s="37">
        <f t="shared" si="14"/>
        <v>0</v>
      </c>
      <c r="BD16" s="37">
        <f t="shared" si="14"/>
        <v>0</v>
      </c>
      <c r="BE16" s="145">
        <f t="shared" si="14"/>
        <v>0</v>
      </c>
      <c r="BF16" s="37">
        <f t="shared" si="14"/>
        <v>0</v>
      </c>
      <c r="BG16" s="37">
        <f t="shared" si="14"/>
        <v>0</v>
      </c>
      <c r="BH16" s="37">
        <f t="shared" ref="BH16:BT16" si="15">SUM(BH10:BH15)</f>
        <v>0</v>
      </c>
      <c r="BI16" s="37">
        <f t="shared" si="15"/>
        <v>0</v>
      </c>
      <c r="BJ16" s="145">
        <f t="shared" si="15"/>
        <v>0</v>
      </c>
      <c r="BK16" s="37">
        <f t="shared" si="15"/>
        <v>0</v>
      </c>
      <c r="BL16" s="38">
        <f t="shared" si="15"/>
        <v>0</v>
      </c>
      <c r="BM16" s="38">
        <f t="shared" si="15"/>
        <v>0</v>
      </c>
      <c r="BN16" s="38">
        <f t="shared" si="15"/>
        <v>0</v>
      </c>
      <c r="BO16" s="281">
        <f t="shared" si="15"/>
        <v>0</v>
      </c>
      <c r="BP16" s="38">
        <f t="shared" si="15"/>
        <v>0</v>
      </c>
      <c r="BQ16" s="38">
        <f t="shared" si="15"/>
        <v>0</v>
      </c>
      <c r="BR16" s="38">
        <f t="shared" si="15"/>
        <v>0</v>
      </c>
      <c r="BS16" s="38">
        <f t="shared" si="15"/>
        <v>0</v>
      </c>
      <c r="BT16" s="281">
        <f t="shared" si="15"/>
        <v>0</v>
      </c>
    </row>
    <row r="17" spans="2:72">
      <c r="E17" s="145"/>
      <c r="F17" s="145"/>
      <c r="G17" s="145"/>
      <c r="H17" s="37"/>
      <c r="I17" s="37"/>
      <c r="J17" s="37"/>
      <c r="K17" s="37"/>
      <c r="L17" s="145"/>
      <c r="M17" s="37"/>
      <c r="N17" s="37"/>
      <c r="O17" s="37"/>
      <c r="P17" s="37"/>
      <c r="Q17" s="145"/>
      <c r="R17" s="37"/>
      <c r="S17" s="37"/>
      <c r="T17" s="37"/>
      <c r="U17" s="37"/>
      <c r="V17" s="145"/>
      <c r="W17" s="37"/>
      <c r="X17" s="37"/>
      <c r="Y17" s="37"/>
      <c r="Z17" s="37"/>
      <c r="AA17" s="145"/>
      <c r="AB17" s="37"/>
      <c r="AC17" s="37"/>
      <c r="AD17" s="37"/>
      <c r="AE17" s="37"/>
      <c r="AF17" s="145"/>
      <c r="AG17" s="37"/>
      <c r="AH17" s="37"/>
      <c r="AI17" s="37"/>
      <c r="AJ17" s="37"/>
      <c r="AK17" s="145"/>
      <c r="AL17" s="37"/>
      <c r="AM17" s="37"/>
      <c r="AN17" s="37"/>
      <c r="AO17" s="37"/>
      <c r="AP17" s="145"/>
      <c r="AQ17" s="37"/>
      <c r="AR17" s="37"/>
      <c r="AS17" s="37"/>
      <c r="AT17" s="37"/>
      <c r="AU17" s="145"/>
      <c r="AV17" s="37"/>
      <c r="AW17" s="37"/>
      <c r="AX17" s="37"/>
      <c r="AY17" s="37"/>
      <c r="AZ17" s="145"/>
      <c r="BA17" s="37"/>
      <c r="BB17" s="37"/>
      <c r="BC17" s="37"/>
      <c r="BD17" s="37"/>
      <c r="BE17" s="145"/>
      <c r="BF17" s="37"/>
      <c r="BG17" s="37"/>
      <c r="BH17" s="37"/>
      <c r="BI17" s="37"/>
      <c r="BJ17" s="145"/>
      <c r="BK17" s="37"/>
      <c r="BL17" s="38"/>
      <c r="BM17" s="38"/>
      <c r="BN17" s="38"/>
      <c r="BO17" s="281"/>
      <c r="BP17" s="38"/>
      <c r="BQ17" s="38"/>
      <c r="BR17" s="38"/>
      <c r="BS17" s="38"/>
      <c r="BT17" s="281"/>
    </row>
    <row r="18" spans="2:72">
      <c r="B18" s="21" t="s">
        <v>334</v>
      </c>
      <c r="E18" s="145"/>
      <c r="F18" s="145"/>
      <c r="G18" s="145"/>
      <c r="H18" s="37"/>
      <c r="I18" s="37"/>
      <c r="J18" s="37"/>
      <c r="K18" s="37"/>
      <c r="L18" s="145"/>
      <c r="M18" s="37"/>
      <c r="N18" s="37"/>
      <c r="O18" s="37"/>
      <c r="P18" s="37"/>
      <c r="Q18" s="145"/>
      <c r="R18" s="37"/>
      <c r="S18" s="37"/>
      <c r="T18" s="37"/>
      <c r="U18" s="37"/>
      <c r="V18" s="145"/>
      <c r="W18" s="37"/>
      <c r="X18" s="37"/>
      <c r="Y18" s="37"/>
      <c r="Z18" s="37"/>
      <c r="AA18" s="145"/>
      <c r="AB18" s="37"/>
      <c r="AC18" s="37"/>
      <c r="AD18" s="37"/>
      <c r="AE18" s="37"/>
      <c r="AF18" s="145"/>
      <c r="AG18" s="37"/>
      <c r="AH18" s="37"/>
      <c r="AI18" s="37"/>
      <c r="AJ18" s="37"/>
      <c r="AK18" s="145"/>
      <c r="AL18" s="37"/>
      <c r="AM18" s="37"/>
      <c r="AN18" s="37"/>
      <c r="AO18" s="37"/>
      <c r="AP18" s="145"/>
      <c r="AQ18" s="37"/>
      <c r="AR18" s="37"/>
      <c r="AS18" s="37"/>
      <c r="AT18" s="37"/>
      <c r="AU18" s="145"/>
      <c r="AV18" s="37"/>
      <c r="AW18" s="37"/>
      <c r="AX18" s="37"/>
      <c r="AY18" s="37"/>
      <c r="AZ18" s="145"/>
      <c r="BA18" s="37"/>
      <c r="BB18" s="37"/>
      <c r="BC18" s="37"/>
      <c r="BD18" s="37"/>
      <c r="BE18" s="145"/>
      <c r="BF18" s="37"/>
      <c r="BG18" s="37"/>
      <c r="BH18" s="37"/>
      <c r="BI18" s="37"/>
      <c r="BJ18" s="145"/>
      <c r="BK18" s="37"/>
      <c r="BL18" s="38"/>
      <c r="BM18" s="38"/>
      <c r="BN18" s="38"/>
      <c r="BO18" s="281"/>
      <c r="BP18" s="38"/>
      <c r="BQ18" s="38"/>
      <c r="BR18" s="38"/>
      <c r="BS18" s="38"/>
      <c r="BT18" s="281"/>
    </row>
    <row r="19" spans="2:72">
      <c r="B19" s="158" t="str">
        <f t="shared" ref="B19:B24" si="16">B10</f>
        <v>Revolving line of credit</v>
      </c>
      <c r="E19" s="145"/>
      <c r="F19" s="145"/>
      <c r="G19" s="145"/>
      <c r="H19" s="37"/>
      <c r="I19" s="37"/>
      <c r="J19" s="37"/>
      <c r="K19" s="37"/>
      <c r="L19" s="145"/>
      <c r="M19" s="37"/>
      <c r="N19" s="37"/>
      <c r="O19" s="37"/>
      <c r="P19" s="37"/>
      <c r="Q19" s="145"/>
      <c r="R19" s="37"/>
      <c r="S19" s="37"/>
      <c r="T19" s="37"/>
      <c r="U19" s="37"/>
      <c r="V19" s="145"/>
      <c r="W19" s="37"/>
      <c r="X19" s="37"/>
      <c r="Y19" s="37"/>
      <c r="Z19" s="37"/>
      <c r="AA19" s="145"/>
      <c r="AB19" s="37"/>
      <c r="AC19" s="37"/>
      <c r="AD19" s="37"/>
      <c r="AE19" s="37"/>
      <c r="AF19" s="145"/>
      <c r="AG19" s="37"/>
      <c r="AH19" s="37"/>
      <c r="AI19" s="37"/>
      <c r="AJ19" s="37"/>
      <c r="AK19" s="145"/>
      <c r="AL19" s="37"/>
      <c r="AM19" s="37"/>
      <c r="AN19" s="37"/>
      <c r="AO19" s="37"/>
      <c r="AP19" s="145"/>
      <c r="AQ19" s="37"/>
      <c r="AR19" s="37"/>
      <c r="AS19" s="37"/>
      <c r="AT19" s="37"/>
      <c r="AU19" s="145"/>
      <c r="AV19" s="37"/>
      <c r="AW19" s="37"/>
      <c r="AX19" s="37"/>
      <c r="AY19" s="37"/>
      <c r="AZ19" s="145"/>
      <c r="BA19" s="37"/>
      <c r="BB19" s="37"/>
      <c r="BC19" s="37"/>
      <c r="BD19" s="37"/>
      <c r="BE19" s="145"/>
      <c r="BF19" s="37"/>
      <c r="BG19" s="37"/>
      <c r="BH19" s="37"/>
      <c r="BI19" s="37"/>
      <c r="BJ19" s="145"/>
      <c r="BK19" s="37"/>
      <c r="BL19" s="38"/>
      <c r="BM19" s="38"/>
      <c r="BN19" s="38"/>
      <c r="BO19" s="281"/>
      <c r="BP19" s="38"/>
      <c r="BQ19" s="38"/>
      <c r="BR19" s="38"/>
      <c r="BS19" s="38"/>
      <c r="BT19" s="281"/>
    </row>
    <row r="20" spans="2:72">
      <c r="B20" s="158" t="str">
        <f t="shared" si="16"/>
        <v>Bank loan</v>
      </c>
      <c r="E20" s="145"/>
      <c r="F20" s="145"/>
      <c r="G20" s="145"/>
      <c r="H20" s="37"/>
      <c r="I20" s="37"/>
      <c r="J20" s="37"/>
      <c r="K20" s="37"/>
      <c r="L20" s="145"/>
      <c r="M20" s="37"/>
      <c r="N20" s="37"/>
      <c r="O20" s="37"/>
      <c r="P20" s="37"/>
      <c r="Q20" s="145"/>
      <c r="R20" s="37"/>
      <c r="S20" s="37"/>
      <c r="T20" s="37"/>
      <c r="U20" s="37"/>
      <c r="V20" s="145"/>
      <c r="W20" s="37"/>
      <c r="X20" s="37"/>
      <c r="Y20" s="37"/>
      <c r="Z20" s="37"/>
      <c r="AA20" s="145"/>
      <c r="AB20" s="37"/>
      <c r="AC20" s="37"/>
      <c r="AD20" s="37"/>
      <c r="AE20" s="37"/>
      <c r="AF20" s="145"/>
      <c r="AG20" s="37"/>
      <c r="AH20" s="37"/>
      <c r="AI20" s="37"/>
      <c r="AJ20" s="37"/>
      <c r="AK20" s="145"/>
      <c r="AL20" s="37"/>
      <c r="AM20" s="37"/>
      <c r="AN20" s="37"/>
      <c r="AO20" s="37"/>
      <c r="AP20" s="145"/>
      <c r="AQ20" s="37"/>
      <c r="AR20" s="37"/>
      <c r="AS20" s="37"/>
      <c r="AT20" s="37"/>
      <c r="AU20" s="145"/>
      <c r="AV20" s="37"/>
      <c r="AW20" s="37"/>
      <c r="AX20" s="37"/>
      <c r="AY20" s="37"/>
      <c r="AZ20" s="145"/>
      <c r="BA20" s="37"/>
      <c r="BB20" s="37"/>
      <c r="BC20" s="37"/>
      <c r="BD20" s="37"/>
      <c r="BE20" s="145"/>
      <c r="BF20" s="37"/>
      <c r="BG20" s="37"/>
      <c r="BH20" s="37"/>
      <c r="BI20" s="37"/>
      <c r="BJ20" s="145"/>
      <c r="BK20" s="37"/>
      <c r="BL20" s="38"/>
      <c r="BM20" s="38"/>
      <c r="BN20" s="38"/>
      <c r="BO20" s="281"/>
      <c r="BP20" s="38"/>
      <c r="BQ20" s="38"/>
      <c r="BR20" s="38"/>
      <c r="BS20" s="38"/>
      <c r="BT20" s="281"/>
    </row>
    <row r="21" spans="2:72">
      <c r="B21" s="158" t="str">
        <f t="shared" si="16"/>
        <v>Bank loan</v>
      </c>
      <c r="E21" s="145"/>
      <c r="F21" s="145"/>
      <c r="G21" s="145"/>
      <c r="H21" s="37"/>
      <c r="I21" s="37"/>
      <c r="J21" s="37"/>
      <c r="K21" s="37"/>
      <c r="L21" s="145"/>
      <c r="M21" s="37"/>
      <c r="N21" s="37"/>
      <c r="O21" s="37"/>
      <c r="P21" s="37"/>
      <c r="Q21" s="145"/>
      <c r="R21" s="37"/>
      <c r="S21" s="37"/>
      <c r="T21" s="37"/>
      <c r="U21" s="37"/>
      <c r="V21" s="145"/>
      <c r="W21" s="37"/>
      <c r="X21" s="37"/>
      <c r="Y21" s="37"/>
      <c r="Z21" s="37"/>
      <c r="AA21" s="145"/>
      <c r="AB21" s="37"/>
      <c r="AC21" s="37"/>
      <c r="AD21" s="37"/>
      <c r="AE21" s="37"/>
      <c r="AF21" s="145"/>
      <c r="AG21" s="37"/>
      <c r="AH21" s="37"/>
      <c r="AI21" s="37"/>
      <c r="AJ21" s="37"/>
      <c r="AK21" s="145"/>
      <c r="AL21" s="37"/>
      <c r="AM21" s="37"/>
      <c r="AN21" s="37"/>
      <c r="AO21" s="37"/>
      <c r="AP21" s="145"/>
      <c r="AQ21" s="37"/>
      <c r="AR21" s="37"/>
      <c r="AS21" s="37"/>
      <c r="AT21" s="37"/>
      <c r="AU21" s="145"/>
      <c r="AV21" s="37"/>
      <c r="AW21" s="37"/>
      <c r="AX21" s="37"/>
      <c r="AY21" s="37"/>
      <c r="AZ21" s="145"/>
      <c r="BA21" s="37"/>
      <c r="BB21" s="37"/>
      <c r="BC21" s="37"/>
      <c r="BD21" s="37"/>
      <c r="BE21" s="145"/>
      <c r="BF21" s="37"/>
      <c r="BG21" s="37"/>
      <c r="BH21" s="37"/>
      <c r="BI21" s="37"/>
      <c r="BJ21" s="145"/>
      <c r="BK21" s="37"/>
      <c r="BL21" s="38"/>
      <c r="BM21" s="38"/>
      <c r="BN21" s="38"/>
      <c r="BO21" s="281"/>
      <c r="BP21" s="38"/>
      <c r="BQ21" s="38"/>
      <c r="BR21" s="38"/>
      <c r="BS21" s="38"/>
      <c r="BT21" s="281"/>
    </row>
    <row r="22" spans="2:72">
      <c r="B22" s="158" t="str">
        <f t="shared" si="16"/>
        <v>Senior notes</v>
      </c>
      <c r="E22" s="145"/>
      <c r="F22" s="145"/>
      <c r="G22" s="145"/>
      <c r="H22" s="37"/>
      <c r="I22" s="37"/>
      <c r="J22" s="37"/>
      <c r="K22" s="37"/>
      <c r="L22" s="145"/>
      <c r="M22" s="37"/>
      <c r="N22" s="37"/>
      <c r="O22" s="37"/>
      <c r="P22" s="37"/>
      <c r="Q22" s="145"/>
      <c r="R22" s="37"/>
      <c r="S22" s="37"/>
      <c r="T22" s="37"/>
      <c r="U22" s="37"/>
      <c r="V22" s="145"/>
      <c r="W22" s="37"/>
      <c r="X22" s="37"/>
      <c r="Y22" s="37"/>
      <c r="Z22" s="37"/>
      <c r="AA22" s="145"/>
      <c r="AB22" s="37"/>
      <c r="AC22" s="37"/>
      <c r="AD22" s="37"/>
      <c r="AE22" s="37"/>
      <c r="AF22" s="145"/>
      <c r="AG22" s="37"/>
      <c r="AH22" s="37"/>
      <c r="AI22" s="37"/>
      <c r="AJ22" s="37"/>
      <c r="AK22" s="145"/>
      <c r="AL22" s="37"/>
      <c r="AM22" s="37"/>
      <c r="AN22" s="37"/>
      <c r="AO22" s="37"/>
      <c r="AP22" s="145"/>
      <c r="AQ22" s="37"/>
      <c r="AR22" s="37"/>
      <c r="AS22" s="37"/>
      <c r="AT22" s="37"/>
      <c r="AU22" s="145"/>
      <c r="AV22" s="37"/>
      <c r="AW22" s="37"/>
      <c r="AX22" s="37"/>
      <c r="AY22" s="37"/>
      <c r="AZ22" s="145"/>
      <c r="BA22" s="37"/>
      <c r="BB22" s="37"/>
      <c r="BC22" s="37"/>
      <c r="BD22" s="37"/>
      <c r="BE22" s="145"/>
      <c r="BF22" s="37"/>
      <c r="BG22" s="37"/>
      <c r="BH22" s="37"/>
      <c r="BI22" s="37"/>
      <c r="BJ22" s="145"/>
      <c r="BK22" s="37"/>
      <c r="BL22" s="38"/>
      <c r="BM22" s="38"/>
      <c r="BN22" s="38"/>
      <c r="BO22" s="281"/>
      <c r="BP22" s="38"/>
      <c r="BQ22" s="38"/>
      <c r="BR22" s="38"/>
      <c r="BS22" s="38"/>
      <c r="BT22" s="281"/>
    </row>
    <row r="23" spans="2:72">
      <c r="B23" s="158" t="str">
        <f t="shared" si="16"/>
        <v>Senior notes</v>
      </c>
      <c r="E23" s="145"/>
      <c r="F23" s="145"/>
      <c r="G23" s="145"/>
      <c r="H23" s="37"/>
      <c r="I23" s="37"/>
      <c r="J23" s="37"/>
      <c r="K23" s="37"/>
      <c r="L23" s="145"/>
      <c r="M23" s="37"/>
      <c r="N23" s="37"/>
      <c r="O23" s="37"/>
      <c r="P23" s="37"/>
      <c r="Q23" s="145"/>
      <c r="R23" s="37"/>
      <c r="S23" s="37"/>
      <c r="T23" s="37"/>
      <c r="U23" s="37"/>
      <c r="V23" s="145"/>
      <c r="W23" s="37"/>
      <c r="X23" s="37"/>
      <c r="Y23" s="37"/>
      <c r="Z23" s="37"/>
      <c r="AA23" s="145"/>
      <c r="AB23" s="37"/>
      <c r="AC23" s="37"/>
      <c r="AD23" s="37"/>
      <c r="AE23" s="37"/>
      <c r="AF23" s="145"/>
      <c r="AG23" s="37"/>
      <c r="AH23" s="37"/>
      <c r="AI23" s="37"/>
      <c r="AJ23" s="37"/>
      <c r="AK23" s="145"/>
      <c r="AL23" s="37"/>
      <c r="AM23" s="37"/>
      <c r="AN23" s="37"/>
      <c r="AO23" s="37"/>
      <c r="AP23" s="145"/>
      <c r="AQ23" s="37"/>
      <c r="AR23" s="37"/>
      <c r="AS23" s="37"/>
      <c r="AT23" s="37"/>
      <c r="AU23" s="145"/>
      <c r="AV23" s="37"/>
      <c r="AW23" s="37"/>
      <c r="AX23" s="37"/>
      <c r="AY23" s="37"/>
      <c r="AZ23" s="145"/>
      <c r="BA23" s="37"/>
      <c r="BB23" s="37"/>
      <c r="BC23" s="37"/>
      <c r="BD23" s="37"/>
      <c r="BE23" s="145"/>
      <c r="BF23" s="37"/>
      <c r="BG23" s="37"/>
      <c r="BH23" s="37"/>
      <c r="BI23" s="37"/>
      <c r="BJ23" s="145"/>
      <c r="BK23" s="37"/>
      <c r="BL23" s="38"/>
      <c r="BM23" s="38"/>
      <c r="BN23" s="38"/>
      <c r="BO23" s="281"/>
      <c r="BP23" s="38"/>
      <c r="BQ23" s="38"/>
      <c r="BR23" s="38"/>
      <c r="BS23" s="38"/>
      <c r="BT23" s="281"/>
    </row>
    <row r="24" spans="2:72">
      <c r="B24" s="163" t="str">
        <f t="shared" si="16"/>
        <v>Subordinated notes</v>
      </c>
      <c r="E24" s="172"/>
      <c r="F24" s="172"/>
      <c r="G24" s="172"/>
      <c r="H24" s="39"/>
      <c r="I24" s="39"/>
      <c r="J24" s="39"/>
      <c r="K24" s="39"/>
      <c r="L24" s="172"/>
      <c r="M24" s="39"/>
      <c r="N24" s="39"/>
      <c r="O24" s="39"/>
      <c r="P24" s="39"/>
      <c r="Q24" s="172"/>
      <c r="R24" s="39"/>
      <c r="S24" s="39"/>
      <c r="T24" s="39"/>
      <c r="U24" s="39"/>
      <c r="V24" s="172"/>
      <c r="W24" s="39"/>
      <c r="X24" s="39"/>
      <c r="Y24" s="39"/>
      <c r="Z24" s="39"/>
      <c r="AA24" s="172"/>
      <c r="AB24" s="39"/>
      <c r="AC24" s="39"/>
      <c r="AD24" s="39"/>
      <c r="AE24" s="39"/>
      <c r="AF24" s="172"/>
      <c r="AG24" s="39"/>
      <c r="AH24" s="39"/>
      <c r="AI24" s="39"/>
      <c r="AJ24" s="39"/>
      <c r="AK24" s="172"/>
      <c r="AL24" s="39"/>
      <c r="AM24" s="39"/>
      <c r="AN24" s="39"/>
      <c r="AO24" s="39"/>
      <c r="AP24" s="172"/>
      <c r="AQ24" s="39"/>
      <c r="AR24" s="39"/>
      <c r="AS24" s="39"/>
      <c r="AT24" s="39"/>
      <c r="AU24" s="172"/>
      <c r="AV24" s="39"/>
      <c r="AW24" s="39"/>
      <c r="AX24" s="39"/>
      <c r="AY24" s="39"/>
      <c r="AZ24" s="172"/>
      <c r="BA24" s="39"/>
      <c r="BB24" s="39"/>
      <c r="BC24" s="39"/>
      <c r="BD24" s="39"/>
      <c r="BE24" s="172"/>
      <c r="BF24" s="39"/>
      <c r="BG24" s="39"/>
      <c r="BH24" s="39"/>
      <c r="BI24" s="39"/>
      <c r="BJ24" s="172"/>
      <c r="BK24" s="39"/>
      <c r="BL24" s="287"/>
      <c r="BM24" s="287"/>
      <c r="BN24" s="287"/>
      <c r="BO24" s="284"/>
      <c r="BP24" s="287"/>
      <c r="BQ24" s="287"/>
      <c r="BR24" s="287"/>
      <c r="BS24" s="287"/>
      <c r="BT24" s="284"/>
    </row>
    <row r="25" spans="2:72">
      <c r="B25" s="21" t="s">
        <v>251</v>
      </c>
      <c r="E25" s="145">
        <f t="shared" ref="E25:BD25" si="17">SUM(E18:E24)</f>
        <v>0</v>
      </c>
      <c r="F25" s="145">
        <f t="shared" si="17"/>
        <v>0</v>
      </c>
      <c r="G25" s="145">
        <f t="shared" si="17"/>
        <v>0</v>
      </c>
      <c r="H25" s="37">
        <f t="shared" si="17"/>
        <v>0</v>
      </c>
      <c r="I25" s="37">
        <f t="shared" si="17"/>
        <v>0</v>
      </c>
      <c r="J25" s="37">
        <f t="shared" si="17"/>
        <v>0</v>
      </c>
      <c r="K25" s="37">
        <f t="shared" si="17"/>
        <v>0</v>
      </c>
      <c r="L25" s="145">
        <f t="shared" si="17"/>
        <v>0</v>
      </c>
      <c r="M25" s="37">
        <f t="shared" si="17"/>
        <v>0</v>
      </c>
      <c r="N25" s="37">
        <f t="shared" si="17"/>
        <v>0</v>
      </c>
      <c r="O25" s="37">
        <f t="shared" si="17"/>
        <v>0</v>
      </c>
      <c r="P25" s="37">
        <f t="shared" si="17"/>
        <v>0</v>
      </c>
      <c r="Q25" s="145">
        <f t="shared" si="17"/>
        <v>0</v>
      </c>
      <c r="R25" s="37">
        <f t="shared" si="17"/>
        <v>0</v>
      </c>
      <c r="S25" s="37">
        <f t="shared" si="17"/>
        <v>0</v>
      </c>
      <c r="T25" s="37">
        <f t="shared" si="17"/>
        <v>0</v>
      </c>
      <c r="U25" s="37">
        <f t="shared" si="17"/>
        <v>0</v>
      </c>
      <c r="V25" s="145">
        <f t="shared" si="17"/>
        <v>0</v>
      </c>
      <c r="W25" s="37">
        <f t="shared" si="17"/>
        <v>0</v>
      </c>
      <c r="X25" s="37">
        <f t="shared" si="17"/>
        <v>0</v>
      </c>
      <c r="Y25" s="37">
        <f t="shared" si="17"/>
        <v>0</v>
      </c>
      <c r="Z25" s="37">
        <f t="shared" si="17"/>
        <v>0</v>
      </c>
      <c r="AA25" s="145">
        <f t="shared" si="17"/>
        <v>0</v>
      </c>
      <c r="AB25" s="37">
        <f t="shared" si="17"/>
        <v>0</v>
      </c>
      <c r="AC25" s="37">
        <f t="shared" si="17"/>
        <v>0</v>
      </c>
      <c r="AD25" s="37">
        <f t="shared" si="17"/>
        <v>0</v>
      </c>
      <c r="AE25" s="37">
        <f t="shared" si="17"/>
        <v>0</v>
      </c>
      <c r="AF25" s="145">
        <f t="shared" si="17"/>
        <v>0</v>
      </c>
      <c r="AG25" s="37">
        <f t="shared" si="17"/>
        <v>0</v>
      </c>
      <c r="AH25" s="37">
        <f t="shared" si="17"/>
        <v>0</v>
      </c>
      <c r="AI25" s="37">
        <f t="shared" si="17"/>
        <v>0</v>
      </c>
      <c r="AJ25" s="37">
        <f t="shared" si="17"/>
        <v>0</v>
      </c>
      <c r="AK25" s="145">
        <f t="shared" si="17"/>
        <v>0</v>
      </c>
      <c r="AL25" s="37">
        <f t="shared" si="17"/>
        <v>0</v>
      </c>
      <c r="AM25" s="37">
        <f t="shared" si="17"/>
        <v>0</v>
      </c>
      <c r="AN25" s="37">
        <f t="shared" si="17"/>
        <v>0</v>
      </c>
      <c r="AO25" s="37">
        <f t="shared" si="17"/>
        <v>0</v>
      </c>
      <c r="AP25" s="145">
        <f t="shared" si="17"/>
        <v>0</v>
      </c>
      <c r="AQ25" s="37">
        <f t="shared" si="17"/>
        <v>0</v>
      </c>
      <c r="AR25" s="37">
        <f t="shared" si="17"/>
        <v>0</v>
      </c>
      <c r="AS25" s="37">
        <f t="shared" si="17"/>
        <v>0</v>
      </c>
      <c r="AT25" s="37">
        <f t="shared" si="17"/>
        <v>0</v>
      </c>
      <c r="AU25" s="145">
        <f t="shared" si="17"/>
        <v>0</v>
      </c>
      <c r="AV25" s="37">
        <f t="shared" si="17"/>
        <v>0</v>
      </c>
      <c r="AW25" s="37">
        <f t="shared" si="17"/>
        <v>0</v>
      </c>
      <c r="AX25" s="37">
        <f t="shared" si="17"/>
        <v>0</v>
      </c>
      <c r="AY25" s="37">
        <f t="shared" si="17"/>
        <v>0</v>
      </c>
      <c r="AZ25" s="145">
        <f t="shared" si="17"/>
        <v>0</v>
      </c>
      <c r="BA25" s="37">
        <f t="shared" si="17"/>
        <v>0</v>
      </c>
      <c r="BB25" s="37">
        <f t="shared" si="17"/>
        <v>0</v>
      </c>
      <c r="BC25" s="37">
        <f t="shared" si="17"/>
        <v>0</v>
      </c>
      <c r="BD25" s="37">
        <f t="shared" si="17"/>
        <v>0</v>
      </c>
      <c r="BE25" s="145">
        <f>SUM(BE18:BE24)</f>
        <v>0</v>
      </c>
      <c r="BF25" s="37">
        <f t="shared" ref="BF25:BO25" si="18">SUM(BF18:BF24)</f>
        <v>0</v>
      </c>
      <c r="BG25" s="37">
        <f t="shared" si="18"/>
        <v>0</v>
      </c>
      <c r="BH25" s="37">
        <f>SUM(BH18:BH24)</f>
        <v>0</v>
      </c>
      <c r="BI25" s="37">
        <f>SUM(BI18:BI24)</f>
        <v>0</v>
      </c>
      <c r="BJ25" s="145">
        <f>SUM(BJ18:BJ24)</f>
        <v>0</v>
      </c>
      <c r="BK25" s="37">
        <f>SUM(BK18:BK24)</f>
        <v>0</v>
      </c>
      <c r="BL25" s="38">
        <f t="shared" si="18"/>
        <v>0</v>
      </c>
      <c r="BM25" s="38">
        <f t="shared" si="18"/>
        <v>0</v>
      </c>
      <c r="BN25" s="38">
        <f t="shared" si="18"/>
        <v>0</v>
      </c>
      <c r="BO25" s="281">
        <f t="shared" si="18"/>
        <v>0</v>
      </c>
      <c r="BP25" s="38">
        <f>SUM(BP18:BP24)</f>
        <v>0</v>
      </c>
      <c r="BQ25" s="38">
        <f>SUM(BQ18:BQ24)</f>
        <v>0</v>
      </c>
      <c r="BR25" s="38">
        <f>SUM(BR18:BR24)</f>
        <v>0</v>
      </c>
      <c r="BS25" s="38">
        <f>SUM(BS18:BS24)</f>
        <v>0</v>
      </c>
      <c r="BT25" s="281">
        <f>SUM(BT18:BT24)</f>
        <v>0</v>
      </c>
    </row>
    <row r="26" spans="2:72">
      <c r="E26" s="145"/>
      <c r="F26" s="145"/>
      <c r="G26" s="145"/>
      <c r="H26" s="37"/>
      <c r="I26" s="37"/>
      <c r="J26" s="37"/>
      <c r="K26" s="37"/>
      <c r="L26" s="145"/>
      <c r="M26" s="37"/>
      <c r="N26" s="37"/>
      <c r="O26" s="37"/>
      <c r="P26" s="37"/>
      <c r="Q26" s="145"/>
      <c r="R26" s="37"/>
      <c r="S26" s="37"/>
      <c r="T26" s="37"/>
      <c r="U26" s="37"/>
      <c r="V26" s="145"/>
      <c r="W26" s="37"/>
      <c r="X26" s="37"/>
      <c r="Y26" s="37"/>
      <c r="Z26" s="37"/>
      <c r="AA26" s="145"/>
      <c r="AB26" s="37"/>
      <c r="AC26" s="37"/>
      <c r="AD26" s="37"/>
      <c r="AE26" s="37"/>
      <c r="AF26" s="145"/>
      <c r="AG26" s="37"/>
      <c r="AH26" s="37"/>
      <c r="AI26" s="37"/>
      <c r="AJ26" s="37"/>
      <c r="AK26" s="145"/>
      <c r="AL26" s="37"/>
      <c r="AM26" s="37"/>
      <c r="AN26" s="37"/>
      <c r="AO26" s="37"/>
      <c r="AP26" s="145"/>
      <c r="AQ26" s="37"/>
      <c r="AR26" s="37"/>
      <c r="AS26" s="37"/>
      <c r="AT26" s="37"/>
      <c r="AU26" s="145"/>
      <c r="AV26" s="37"/>
      <c r="AW26" s="37"/>
      <c r="AX26" s="37"/>
      <c r="AY26" s="37"/>
      <c r="AZ26" s="145"/>
      <c r="BA26" s="37"/>
      <c r="BB26" s="37"/>
      <c r="BC26" s="37"/>
      <c r="BD26" s="37"/>
      <c r="BE26" s="145"/>
      <c r="BF26" s="37"/>
      <c r="BG26" s="37"/>
      <c r="BH26" s="37"/>
      <c r="BI26" s="37"/>
      <c r="BJ26" s="145"/>
      <c r="BK26" s="37"/>
      <c r="BL26" s="38"/>
      <c r="BM26" s="38"/>
      <c r="BN26" s="38"/>
      <c r="BO26" s="281"/>
      <c r="BP26" s="38"/>
      <c r="BQ26" s="38"/>
      <c r="BR26" s="38"/>
      <c r="BS26" s="38"/>
      <c r="BT26" s="281"/>
    </row>
    <row r="27" spans="2:72">
      <c r="B27" s="21" t="s">
        <v>335</v>
      </c>
      <c r="E27" s="145"/>
      <c r="F27" s="145"/>
      <c r="G27" s="145"/>
      <c r="H27" s="37"/>
      <c r="I27" s="37"/>
      <c r="J27" s="37"/>
      <c r="K27" s="37"/>
      <c r="L27" s="145"/>
      <c r="M27" s="37"/>
      <c r="N27" s="37"/>
      <c r="O27" s="37"/>
      <c r="P27" s="37"/>
      <c r="Q27" s="145"/>
      <c r="R27" s="37"/>
      <c r="S27" s="37"/>
      <c r="T27" s="37"/>
      <c r="U27" s="37"/>
      <c r="V27" s="145"/>
      <c r="W27" s="37"/>
      <c r="X27" s="37"/>
      <c r="Y27" s="37"/>
      <c r="Z27" s="37"/>
      <c r="AA27" s="145"/>
      <c r="AB27" s="37"/>
      <c r="AC27" s="37"/>
      <c r="AD27" s="37"/>
      <c r="AE27" s="37"/>
      <c r="AF27" s="145"/>
      <c r="AG27" s="37"/>
      <c r="AH27" s="37"/>
      <c r="AI27" s="37"/>
      <c r="AJ27" s="37"/>
      <c r="AK27" s="145"/>
      <c r="AL27" s="37"/>
      <c r="AM27" s="37"/>
      <c r="AN27" s="37"/>
      <c r="AO27" s="37"/>
      <c r="AP27" s="145"/>
      <c r="AQ27" s="37"/>
      <c r="AR27" s="37"/>
      <c r="AS27" s="37"/>
      <c r="AT27" s="37"/>
      <c r="AU27" s="145"/>
      <c r="AV27" s="37"/>
      <c r="AW27" s="37"/>
      <c r="AX27" s="37"/>
      <c r="AY27" s="37"/>
      <c r="AZ27" s="145"/>
      <c r="BA27" s="37"/>
      <c r="BB27" s="37"/>
      <c r="BC27" s="37"/>
      <c r="BD27" s="37"/>
      <c r="BE27" s="145"/>
      <c r="BF27" s="37"/>
      <c r="BG27" s="37"/>
      <c r="BH27" s="37"/>
      <c r="BI27" s="37"/>
      <c r="BJ27" s="145"/>
      <c r="BK27" s="37"/>
      <c r="BL27" s="38"/>
      <c r="BM27" s="38"/>
      <c r="BN27" s="38"/>
      <c r="BO27" s="281"/>
      <c r="BP27" s="38"/>
      <c r="BQ27" s="38"/>
      <c r="BR27" s="38"/>
      <c r="BS27" s="38"/>
      <c r="BT27" s="281"/>
    </row>
    <row r="28" spans="2:72">
      <c r="B28" s="158" t="str">
        <f t="shared" ref="B28:B33" si="19">B19</f>
        <v>Revolving line of credit</v>
      </c>
      <c r="E28" s="145"/>
      <c r="F28" s="145"/>
      <c r="G28" s="145"/>
      <c r="H28" s="37"/>
      <c r="I28" s="37"/>
      <c r="J28" s="37"/>
      <c r="K28" s="37"/>
      <c r="L28" s="145"/>
      <c r="M28" s="37"/>
      <c r="N28" s="37"/>
      <c r="O28" s="37"/>
      <c r="P28" s="37"/>
      <c r="Q28" s="145"/>
      <c r="R28" s="37"/>
      <c r="S28" s="37"/>
      <c r="T28" s="37"/>
      <c r="U28" s="37"/>
      <c r="V28" s="145"/>
      <c r="W28" s="37"/>
      <c r="X28" s="37"/>
      <c r="Y28" s="37"/>
      <c r="Z28" s="37"/>
      <c r="AA28" s="145"/>
      <c r="AB28" s="37"/>
      <c r="AC28" s="37"/>
      <c r="AD28" s="37"/>
      <c r="AE28" s="37"/>
      <c r="AF28" s="145"/>
      <c r="AG28" s="37"/>
      <c r="AH28" s="37"/>
      <c r="AI28" s="37"/>
      <c r="AJ28" s="37"/>
      <c r="AK28" s="145"/>
      <c r="AL28" s="37"/>
      <c r="AM28" s="37"/>
      <c r="AN28" s="37"/>
      <c r="AO28" s="37"/>
      <c r="AP28" s="145"/>
      <c r="AQ28" s="37"/>
      <c r="AR28" s="37"/>
      <c r="AS28" s="37"/>
      <c r="AT28" s="37"/>
      <c r="AU28" s="145"/>
      <c r="AV28" s="37"/>
      <c r="AW28" s="37"/>
      <c r="AX28" s="37"/>
      <c r="AY28" s="37"/>
      <c r="AZ28" s="145"/>
      <c r="BA28" s="37"/>
      <c r="BB28" s="37"/>
      <c r="BC28" s="37"/>
      <c r="BD28" s="37"/>
      <c r="BE28" s="145"/>
      <c r="BF28" s="37"/>
      <c r="BG28" s="37"/>
      <c r="BH28" s="37"/>
      <c r="BI28" s="37"/>
      <c r="BJ28" s="145"/>
      <c r="BK28" s="37"/>
      <c r="BL28" s="38"/>
      <c r="BM28" s="38"/>
      <c r="BN28" s="38"/>
      <c r="BO28" s="281"/>
      <c r="BP28" s="38"/>
      <c r="BQ28" s="38"/>
      <c r="BR28" s="38"/>
      <c r="BS28" s="38"/>
      <c r="BT28" s="281"/>
    </row>
    <row r="29" spans="2:72">
      <c r="B29" s="158" t="str">
        <f t="shared" si="19"/>
        <v>Bank loan</v>
      </c>
      <c r="E29" s="145"/>
      <c r="F29" s="145"/>
      <c r="G29" s="145"/>
      <c r="H29" s="37"/>
      <c r="I29" s="37"/>
      <c r="J29" s="37"/>
      <c r="K29" s="37"/>
      <c r="L29" s="145"/>
      <c r="M29" s="37"/>
      <c r="N29" s="37"/>
      <c r="O29" s="37"/>
      <c r="P29" s="37"/>
      <c r="Q29" s="145"/>
      <c r="R29" s="37"/>
      <c r="S29" s="37"/>
      <c r="T29" s="37"/>
      <c r="U29" s="37"/>
      <c r="V29" s="145"/>
      <c r="W29" s="37"/>
      <c r="X29" s="37"/>
      <c r="Y29" s="37"/>
      <c r="Z29" s="37"/>
      <c r="AA29" s="145"/>
      <c r="AB29" s="37"/>
      <c r="AC29" s="37"/>
      <c r="AD29" s="37"/>
      <c r="AE29" s="37"/>
      <c r="AF29" s="145"/>
      <c r="AG29" s="37"/>
      <c r="AH29" s="37"/>
      <c r="AI29" s="37"/>
      <c r="AJ29" s="37"/>
      <c r="AK29" s="145"/>
      <c r="AL29" s="37"/>
      <c r="AM29" s="37"/>
      <c r="AN29" s="37"/>
      <c r="AO29" s="37"/>
      <c r="AP29" s="145"/>
      <c r="AQ29" s="37"/>
      <c r="AR29" s="37"/>
      <c r="AS29" s="37"/>
      <c r="AT29" s="37"/>
      <c r="AU29" s="145"/>
      <c r="AV29" s="37"/>
      <c r="AW29" s="37"/>
      <c r="AX29" s="37"/>
      <c r="AY29" s="37"/>
      <c r="AZ29" s="145"/>
      <c r="BA29" s="37"/>
      <c r="BB29" s="37"/>
      <c r="BC29" s="37"/>
      <c r="BD29" s="37"/>
      <c r="BE29" s="145"/>
      <c r="BF29" s="37"/>
      <c r="BG29" s="37"/>
      <c r="BH29" s="37"/>
      <c r="BI29" s="37"/>
      <c r="BJ29" s="145"/>
      <c r="BK29" s="37"/>
      <c r="BL29" s="38"/>
      <c r="BM29" s="38"/>
      <c r="BN29" s="38"/>
      <c r="BO29" s="281"/>
      <c r="BP29" s="38"/>
      <c r="BQ29" s="38"/>
      <c r="BR29" s="38"/>
      <c r="BS29" s="38"/>
      <c r="BT29" s="281"/>
    </row>
    <row r="30" spans="2:72">
      <c r="B30" s="158" t="str">
        <f t="shared" si="19"/>
        <v>Bank loan</v>
      </c>
      <c r="E30" s="145"/>
      <c r="F30" s="145"/>
      <c r="G30" s="145"/>
      <c r="H30" s="37"/>
      <c r="I30" s="37"/>
      <c r="J30" s="37"/>
      <c r="K30" s="37"/>
      <c r="L30" s="145"/>
      <c r="M30" s="37"/>
      <c r="N30" s="37"/>
      <c r="O30" s="37"/>
      <c r="P30" s="37"/>
      <c r="Q30" s="145"/>
      <c r="R30" s="37"/>
      <c r="S30" s="37"/>
      <c r="T30" s="37"/>
      <c r="U30" s="37"/>
      <c r="V30" s="145"/>
      <c r="W30" s="37"/>
      <c r="X30" s="37"/>
      <c r="Y30" s="37"/>
      <c r="Z30" s="37"/>
      <c r="AA30" s="145"/>
      <c r="AB30" s="37"/>
      <c r="AC30" s="37"/>
      <c r="AD30" s="37"/>
      <c r="AE30" s="37"/>
      <c r="AF30" s="145"/>
      <c r="AG30" s="37"/>
      <c r="AH30" s="37"/>
      <c r="AI30" s="37"/>
      <c r="AJ30" s="37"/>
      <c r="AK30" s="145"/>
      <c r="AL30" s="37"/>
      <c r="AM30" s="37"/>
      <c r="AN30" s="37"/>
      <c r="AO30" s="37"/>
      <c r="AP30" s="145"/>
      <c r="AQ30" s="37"/>
      <c r="AR30" s="37"/>
      <c r="AS30" s="37"/>
      <c r="AT30" s="37"/>
      <c r="AU30" s="145"/>
      <c r="AV30" s="37"/>
      <c r="AW30" s="37"/>
      <c r="AX30" s="37"/>
      <c r="AY30" s="37"/>
      <c r="AZ30" s="145"/>
      <c r="BA30" s="37"/>
      <c r="BB30" s="37"/>
      <c r="BC30" s="37"/>
      <c r="BD30" s="37"/>
      <c r="BE30" s="145"/>
      <c r="BF30" s="37"/>
      <c r="BG30" s="37"/>
      <c r="BH30" s="37"/>
      <c r="BI30" s="37"/>
      <c r="BJ30" s="145"/>
      <c r="BK30" s="37"/>
      <c r="BL30" s="38"/>
      <c r="BM30" s="38"/>
      <c r="BN30" s="38"/>
      <c r="BO30" s="281"/>
      <c r="BP30" s="38"/>
      <c r="BQ30" s="38"/>
      <c r="BR30" s="38"/>
      <c r="BS30" s="38"/>
      <c r="BT30" s="281"/>
    </row>
    <row r="31" spans="2:72">
      <c r="B31" s="158" t="str">
        <f t="shared" si="19"/>
        <v>Senior notes</v>
      </c>
      <c r="E31" s="145"/>
      <c r="F31" s="145"/>
      <c r="G31" s="145"/>
      <c r="H31" s="37"/>
      <c r="I31" s="37"/>
      <c r="J31" s="37"/>
      <c r="K31" s="37"/>
      <c r="L31" s="145"/>
      <c r="M31" s="37"/>
      <c r="N31" s="37"/>
      <c r="O31" s="37"/>
      <c r="P31" s="37"/>
      <c r="Q31" s="145"/>
      <c r="R31" s="37"/>
      <c r="S31" s="37"/>
      <c r="T31" s="37"/>
      <c r="U31" s="37"/>
      <c r="V31" s="145"/>
      <c r="W31" s="37"/>
      <c r="X31" s="37"/>
      <c r="Y31" s="37"/>
      <c r="Z31" s="37"/>
      <c r="AA31" s="145"/>
      <c r="AB31" s="37"/>
      <c r="AC31" s="37"/>
      <c r="AD31" s="37"/>
      <c r="AE31" s="37"/>
      <c r="AF31" s="145"/>
      <c r="AG31" s="37"/>
      <c r="AH31" s="37"/>
      <c r="AI31" s="37"/>
      <c r="AJ31" s="37"/>
      <c r="AK31" s="145"/>
      <c r="AL31" s="37"/>
      <c r="AM31" s="37"/>
      <c r="AN31" s="37"/>
      <c r="AO31" s="37"/>
      <c r="AP31" s="145"/>
      <c r="AQ31" s="37"/>
      <c r="AR31" s="37"/>
      <c r="AS31" s="37"/>
      <c r="AT31" s="37"/>
      <c r="AU31" s="145"/>
      <c r="AV31" s="37"/>
      <c r="AW31" s="37"/>
      <c r="AX31" s="37"/>
      <c r="AY31" s="37"/>
      <c r="AZ31" s="145"/>
      <c r="BA31" s="37"/>
      <c r="BB31" s="37"/>
      <c r="BC31" s="37"/>
      <c r="BD31" s="37"/>
      <c r="BE31" s="145"/>
      <c r="BF31" s="37"/>
      <c r="BG31" s="37"/>
      <c r="BH31" s="37"/>
      <c r="BI31" s="37"/>
      <c r="BJ31" s="145"/>
      <c r="BK31" s="37"/>
      <c r="BL31" s="38"/>
      <c r="BM31" s="38"/>
      <c r="BN31" s="38"/>
      <c r="BO31" s="281"/>
      <c r="BP31" s="38"/>
      <c r="BQ31" s="38"/>
      <c r="BR31" s="38"/>
      <c r="BS31" s="38"/>
      <c r="BT31" s="281"/>
    </row>
    <row r="32" spans="2:72">
      <c r="B32" s="158" t="str">
        <f t="shared" si="19"/>
        <v>Senior notes</v>
      </c>
      <c r="E32" s="145"/>
      <c r="F32" s="145"/>
      <c r="G32" s="145"/>
      <c r="H32" s="37"/>
      <c r="I32" s="37"/>
      <c r="J32" s="37"/>
      <c r="K32" s="37"/>
      <c r="L32" s="145"/>
      <c r="M32" s="37"/>
      <c r="N32" s="37"/>
      <c r="O32" s="37"/>
      <c r="P32" s="37"/>
      <c r="Q32" s="145"/>
      <c r="R32" s="37"/>
      <c r="S32" s="37"/>
      <c r="T32" s="37"/>
      <c r="U32" s="37"/>
      <c r="V32" s="145"/>
      <c r="W32" s="37"/>
      <c r="X32" s="37"/>
      <c r="Y32" s="37"/>
      <c r="Z32" s="37"/>
      <c r="AA32" s="145"/>
      <c r="AB32" s="37"/>
      <c r="AC32" s="37"/>
      <c r="AD32" s="37"/>
      <c r="AE32" s="37"/>
      <c r="AF32" s="145"/>
      <c r="AG32" s="37"/>
      <c r="AH32" s="37"/>
      <c r="AI32" s="37"/>
      <c r="AJ32" s="37"/>
      <c r="AK32" s="145"/>
      <c r="AL32" s="37"/>
      <c r="AM32" s="37"/>
      <c r="AN32" s="37"/>
      <c r="AO32" s="37"/>
      <c r="AP32" s="145"/>
      <c r="AQ32" s="37"/>
      <c r="AR32" s="37"/>
      <c r="AS32" s="37"/>
      <c r="AT32" s="37"/>
      <c r="AU32" s="145"/>
      <c r="AV32" s="37"/>
      <c r="AW32" s="37"/>
      <c r="AX32" s="37"/>
      <c r="AY32" s="37"/>
      <c r="AZ32" s="145"/>
      <c r="BA32" s="37"/>
      <c r="BB32" s="37"/>
      <c r="BC32" s="37"/>
      <c r="BD32" s="37"/>
      <c r="BE32" s="145"/>
      <c r="BF32" s="37"/>
      <c r="BG32" s="37"/>
      <c r="BH32" s="37"/>
      <c r="BI32" s="37"/>
      <c r="BJ32" s="145"/>
      <c r="BK32" s="37"/>
      <c r="BL32" s="38"/>
      <c r="BM32" s="38"/>
      <c r="BN32" s="38"/>
      <c r="BO32" s="281"/>
      <c r="BP32" s="38"/>
      <c r="BQ32" s="38"/>
      <c r="BR32" s="38"/>
      <c r="BS32" s="38"/>
      <c r="BT32" s="281"/>
    </row>
    <row r="33" spans="2:72">
      <c r="B33" s="163" t="str">
        <f t="shared" si="19"/>
        <v>Subordinated notes</v>
      </c>
      <c r="E33" s="145"/>
      <c r="F33" s="145"/>
      <c r="G33" s="145"/>
      <c r="H33" s="37"/>
      <c r="I33" s="37"/>
      <c r="J33" s="37"/>
      <c r="K33" s="37"/>
      <c r="L33" s="145"/>
      <c r="M33" s="37"/>
      <c r="N33" s="37"/>
      <c r="O33" s="37"/>
      <c r="P33" s="37"/>
      <c r="Q33" s="172"/>
      <c r="R33" s="37"/>
      <c r="S33" s="37"/>
      <c r="T33" s="37"/>
      <c r="U33" s="37"/>
      <c r="V33" s="172"/>
      <c r="W33" s="37"/>
      <c r="X33" s="37"/>
      <c r="Y33" s="37"/>
      <c r="Z33" s="37"/>
      <c r="AA33" s="172"/>
      <c r="AB33" s="37"/>
      <c r="AC33" s="37"/>
      <c r="AD33" s="37"/>
      <c r="AE33" s="37"/>
      <c r="AF33" s="172"/>
      <c r="AG33" s="37"/>
      <c r="AH33" s="37"/>
      <c r="AI33" s="37"/>
      <c r="AJ33" s="37"/>
      <c r="AK33" s="172"/>
      <c r="AL33" s="37"/>
      <c r="AM33" s="37"/>
      <c r="AN33" s="37"/>
      <c r="AO33" s="37"/>
      <c r="AP33" s="172"/>
      <c r="AQ33" s="37"/>
      <c r="AR33" s="37"/>
      <c r="AS33" s="37"/>
      <c r="AT33" s="37"/>
      <c r="AU33" s="172"/>
      <c r="AV33" s="37"/>
      <c r="AW33" s="37"/>
      <c r="AX33" s="37"/>
      <c r="AY33" s="37"/>
      <c r="AZ33" s="172"/>
      <c r="BA33" s="37"/>
      <c r="BB33" s="37"/>
      <c r="BC33" s="37"/>
      <c r="BD33" s="37"/>
      <c r="BE33" s="172"/>
      <c r="BF33" s="37"/>
      <c r="BG33" s="37"/>
      <c r="BH33" s="37"/>
      <c r="BI33" s="37"/>
      <c r="BJ33" s="172"/>
      <c r="BK33" s="37"/>
      <c r="BL33" s="38"/>
      <c r="BM33" s="38"/>
      <c r="BN33" s="38"/>
      <c r="BO33" s="284"/>
      <c r="BP33" s="38"/>
      <c r="BQ33" s="38"/>
      <c r="BR33" s="38"/>
      <c r="BS33" s="38"/>
      <c r="BT33" s="284"/>
    </row>
    <row r="34" spans="2:72">
      <c r="B34" s="21" t="s">
        <v>251</v>
      </c>
      <c r="E34" s="145">
        <f t="shared" ref="E34:AF34" si="20">SUM(E27:E33)</f>
        <v>0</v>
      </c>
      <c r="F34" s="145">
        <f t="shared" si="20"/>
        <v>0</v>
      </c>
      <c r="G34" s="145">
        <f t="shared" si="20"/>
        <v>0</v>
      </c>
      <c r="H34" s="37">
        <f t="shared" si="20"/>
        <v>0</v>
      </c>
      <c r="I34" s="37">
        <f t="shared" si="20"/>
        <v>0</v>
      </c>
      <c r="J34" s="37">
        <f t="shared" si="20"/>
        <v>0</v>
      </c>
      <c r="K34" s="37">
        <f t="shared" si="20"/>
        <v>0</v>
      </c>
      <c r="L34" s="145">
        <f t="shared" si="20"/>
        <v>0</v>
      </c>
      <c r="M34" s="37">
        <f t="shared" si="20"/>
        <v>0</v>
      </c>
      <c r="N34" s="37">
        <f t="shared" si="20"/>
        <v>0</v>
      </c>
      <c r="O34" s="37">
        <f t="shared" si="20"/>
        <v>0</v>
      </c>
      <c r="P34" s="37">
        <f t="shared" si="20"/>
        <v>0</v>
      </c>
      <c r="Q34" s="145">
        <f t="shared" si="20"/>
        <v>0</v>
      </c>
      <c r="R34" s="37">
        <f t="shared" si="20"/>
        <v>0</v>
      </c>
      <c r="S34" s="37">
        <f t="shared" si="20"/>
        <v>0</v>
      </c>
      <c r="T34" s="37">
        <f t="shared" si="20"/>
        <v>0</v>
      </c>
      <c r="U34" s="37">
        <f t="shared" si="20"/>
        <v>0</v>
      </c>
      <c r="V34" s="145">
        <f t="shared" si="20"/>
        <v>0</v>
      </c>
      <c r="W34" s="37">
        <f t="shared" si="20"/>
        <v>0</v>
      </c>
      <c r="X34" s="37">
        <f t="shared" si="20"/>
        <v>0</v>
      </c>
      <c r="Y34" s="37">
        <f t="shared" si="20"/>
        <v>0</v>
      </c>
      <c r="Z34" s="37">
        <f t="shared" si="20"/>
        <v>0</v>
      </c>
      <c r="AA34" s="145">
        <f t="shared" si="20"/>
        <v>0</v>
      </c>
      <c r="AB34" s="37">
        <f t="shared" si="20"/>
        <v>0</v>
      </c>
      <c r="AC34" s="37">
        <f t="shared" si="20"/>
        <v>0</v>
      </c>
      <c r="AD34" s="37">
        <f t="shared" si="20"/>
        <v>0</v>
      </c>
      <c r="AE34" s="37">
        <f t="shared" si="20"/>
        <v>0</v>
      </c>
      <c r="AF34" s="145">
        <f t="shared" si="20"/>
        <v>0</v>
      </c>
      <c r="AG34" s="37">
        <f t="shared" ref="AG34:BL34" si="21">SUM(AG27:AG33)</f>
        <v>0</v>
      </c>
      <c r="AH34" s="37">
        <f t="shared" si="21"/>
        <v>0</v>
      </c>
      <c r="AI34" s="37">
        <f t="shared" si="21"/>
        <v>0</v>
      </c>
      <c r="AJ34" s="37">
        <f t="shared" si="21"/>
        <v>0</v>
      </c>
      <c r="AK34" s="145">
        <f t="shared" si="21"/>
        <v>0</v>
      </c>
      <c r="AL34" s="37">
        <f t="shared" si="21"/>
        <v>0</v>
      </c>
      <c r="AM34" s="37">
        <f t="shared" si="21"/>
        <v>0</v>
      </c>
      <c r="AN34" s="37">
        <f t="shared" si="21"/>
        <v>0</v>
      </c>
      <c r="AO34" s="37">
        <f t="shared" si="21"/>
        <v>0</v>
      </c>
      <c r="AP34" s="145">
        <f t="shared" si="21"/>
        <v>0</v>
      </c>
      <c r="AQ34" s="37">
        <f t="shared" si="21"/>
        <v>0</v>
      </c>
      <c r="AR34" s="37">
        <f t="shared" si="21"/>
        <v>0</v>
      </c>
      <c r="AS34" s="37">
        <f t="shared" si="21"/>
        <v>0</v>
      </c>
      <c r="AT34" s="37">
        <f t="shared" si="21"/>
        <v>0</v>
      </c>
      <c r="AU34" s="145">
        <f t="shared" si="21"/>
        <v>0</v>
      </c>
      <c r="AV34" s="37">
        <f t="shared" si="21"/>
        <v>0</v>
      </c>
      <c r="AW34" s="37">
        <f t="shared" si="21"/>
        <v>0</v>
      </c>
      <c r="AX34" s="37">
        <f t="shared" si="21"/>
        <v>0</v>
      </c>
      <c r="AY34" s="37">
        <f t="shared" si="21"/>
        <v>0</v>
      </c>
      <c r="AZ34" s="145">
        <f t="shared" si="21"/>
        <v>0</v>
      </c>
      <c r="BA34" s="37">
        <f t="shared" si="21"/>
        <v>0</v>
      </c>
      <c r="BB34" s="37">
        <f t="shared" si="21"/>
        <v>0</v>
      </c>
      <c r="BC34" s="37">
        <f t="shared" si="21"/>
        <v>0</v>
      </c>
      <c r="BD34" s="37">
        <f t="shared" si="21"/>
        <v>0</v>
      </c>
      <c r="BE34" s="145">
        <f t="shared" si="21"/>
        <v>0</v>
      </c>
      <c r="BF34" s="37">
        <f t="shared" si="21"/>
        <v>0</v>
      </c>
      <c r="BG34" s="37">
        <f t="shared" si="21"/>
        <v>0</v>
      </c>
      <c r="BH34" s="37">
        <f>SUM(BH27:BH33)</f>
        <v>0</v>
      </c>
      <c r="BI34" s="37">
        <f>SUM(BI27:BI33)</f>
        <v>0</v>
      </c>
      <c r="BJ34" s="145">
        <f>SUM(BJ27:BJ33)</f>
        <v>0</v>
      </c>
      <c r="BK34" s="37">
        <f>SUM(BK27:BK33)</f>
        <v>0</v>
      </c>
      <c r="BL34" s="38">
        <f t="shared" si="21"/>
        <v>0</v>
      </c>
      <c r="BM34" s="38">
        <f t="shared" ref="BM34:BT34" si="22">SUM(BM27:BM33)</f>
        <v>0</v>
      </c>
      <c r="BN34" s="38">
        <f t="shared" si="22"/>
        <v>0</v>
      </c>
      <c r="BO34" s="281">
        <f t="shared" si="22"/>
        <v>0</v>
      </c>
      <c r="BP34" s="38">
        <f t="shared" si="22"/>
        <v>0</v>
      </c>
      <c r="BQ34" s="38">
        <f t="shared" si="22"/>
        <v>0</v>
      </c>
      <c r="BR34" s="38">
        <f t="shared" si="22"/>
        <v>0</v>
      </c>
      <c r="BS34" s="38">
        <f t="shared" si="22"/>
        <v>0</v>
      </c>
      <c r="BT34" s="281">
        <f t="shared" si="22"/>
        <v>0</v>
      </c>
    </row>
    <row r="35" spans="2:72">
      <c r="E35" s="145"/>
      <c r="F35" s="145"/>
      <c r="G35" s="145"/>
      <c r="H35" s="37"/>
      <c r="I35" s="37"/>
      <c r="J35" s="37"/>
      <c r="K35" s="37"/>
      <c r="L35" s="145"/>
      <c r="M35" s="37"/>
      <c r="N35" s="37"/>
      <c r="O35" s="37"/>
      <c r="P35" s="37"/>
      <c r="Q35" s="145"/>
      <c r="R35" s="37"/>
      <c r="S35" s="37"/>
      <c r="T35" s="37"/>
      <c r="U35" s="37"/>
      <c r="V35" s="145"/>
      <c r="W35" s="37"/>
      <c r="X35" s="37"/>
      <c r="Y35" s="37"/>
      <c r="Z35" s="37"/>
      <c r="AA35" s="145"/>
      <c r="AB35" s="37"/>
      <c r="AC35" s="37"/>
      <c r="AD35" s="37"/>
      <c r="AE35" s="37"/>
      <c r="AF35" s="145"/>
      <c r="AG35" s="37"/>
      <c r="AH35" s="37"/>
      <c r="AI35" s="37"/>
      <c r="AJ35" s="37"/>
      <c r="AK35" s="145"/>
      <c r="AL35" s="37"/>
      <c r="AM35" s="37"/>
      <c r="AN35" s="37"/>
      <c r="AO35" s="37"/>
      <c r="AP35" s="145"/>
      <c r="AQ35" s="37"/>
      <c r="AR35" s="37"/>
      <c r="AS35" s="37"/>
      <c r="AT35" s="37"/>
      <c r="AU35" s="145"/>
      <c r="AV35" s="37"/>
      <c r="AW35" s="37"/>
      <c r="AX35" s="37"/>
      <c r="AY35" s="37"/>
      <c r="AZ35" s="145"/>
      <c r="BA35" s="37"/>
      <c r="BB35" s="37"/>
      <c r="BC35" s="37"/>
      <c r="BD35" s="37"/>
      <c r="BE35" s="145"/>
      <c r="BF35" s="37"/>
      <c r="BG35" s="37"/>
      <c r="BH35" s="37"/>
      <c r="BI35" s="37"/>
      <c r="BJ35" s="145"/>
      <c r="BK35" s="37"/>
      <c r="BL35" s="38"/>
      <c r="BM35" s="38"/>
      <c r="BN35" s="38"/>
      <c r="BO35" s="281"/>
      <c r="BP35" s="38"/>
      <c r="BQ35" s="38"/>
      <c r="BR35" s="38"/>
      <c r="BS35" s="38"/>
      <c r="BT35" s="281"/>
    </row>
    <row r="36" spans="2:72">
      <c r="B36" s="21" t="s">
        <v>336</v>
      </c>
      <c r="E36" s="145"/>
      <c r="F36" s="145"/>
      <c r="G36" s="145"/>
      <c r="H36" s="37"/>
      <c r="I36" s="37"/>
      <c r="J36" s="37"/>
      <c r="K36" s="37"/>
      <c r="L36" s="145"/>
      <c r="M36" s="37"/>
      <c r="N36" s="37"/>
      <c r="O36" s="37"/>
      <c r="P36" s="37"/>
      <c r="Q36" s="145"/>
      <c r="R36" s="37"/>
      <c r="S36" s="37"/>
      <c r="T36" s="37"/>
      <c r="U36" s="37"/>
      <c r="V36" s="145"/>
      <c r="W36" s="37"/>
      <c r="X36" s="37"/>
      <c r="Y36" s="37"/>
      <c r="Z36" s="37"/>
      <c r="AA36" s="145"/>
      <c r="AB36" s="37"/>
      <c r="AC36" s="37"/>
      <c r="AD36" s="37"/>
      <c r="AE36" s="37"/>
      <c r="AF36" s="145"/>
      <c r="AG36" s="37"/>
      <c r="AH36" s="37"/>
      <c r="AI36" s="37"/>
      <c r="AJ36" s="37"/>
      <c r="AK36" s="145"/>
      <c r="AL36" s="37"/>
      <c r="AM36" s="37"/>
      <c r="AN36" s="37"/>
      <c r="AO36" s="37"/>
      <c r="AP36" s="145"/>
      <c r="AQ36" s="37"/>
      <c r="AR36" s="37"/>
      <c r="AS36" s="37"/>
      <c r="AT36" s="37"/>
      <c r="AU36" s="145"/>
      <c r="AV36" s="37"/>
      <c r="AW36" s="37"/>
      <c r="AX36" s="37"/>
      <c r="AY36" s="37"/>
      <c r="AZ36" s="145"/>
      <c r="BA36" s="37"/>
      <c r="BB36" s="37"/>
      <c r="BC36" s="37"/>
      <c r="BD36" s="37"/>
      <c r="BE36" s="145"/>
      <c r="BF36" s="37"/>
      <c r="BG36" s="37"/>
      <c r="BH36" s="37"/>
      <c r="BI36" s="37"/>
      <c r="BJ36" s="145"/>
      <c r="BK36" s="37"/>
      <c r="BL36" s="38"/>
      <c r="BM36" s="38"/>
      <c r="BN36" s="38"/>
      <c r="BO36" s="281"/>
      <c r="BP36" s="38"/>
      <c r="BQ36" s="38"/>
      <c r="BR36" s="38"/>
      <c r="BS36" s="38"/>
      <c r="BT36" s="281"/>
    </row>
    <row r="37" spans="2:72">
      <c r="B37" s="158" t="str">
        <f t="shared" ref="B37:B42" si="23">B28</f>
        <v>Revolving line of credit</v>
      </c>
      <c r="E37" s="145"/>
      <c r="F37" s="145"/>
      <c r="G37" s="145"/>
      <c r="H37" s="37"/>
      <c r="I37" s="37"/>
      <c r="J37" s="37"/>
      <c r="K37" s="37"/>
      <c r="L37" s="145"/>
      <c r="M37" s="37"/>
      <c r="N37" s="37"/>
      <c r="O37" s="37"/>
      <c r="P37" s="37"/>
      <c r="Q37" s="145"/>
      <c r="R37" s="37"/>
      <c r="S37" s="37"/>
      <c r="T37" s="37"/>
      <c r="U37" s="37"/>
      <c r="V37" s="145"/>
      <c r="W37" s="37"/>
      <c r="X37" s="37"/>
      <c r="Y37" s="37"/>
      <c r="Z37" s="37"/>
      <c r="AA37" s="145"/>
      <c r="AB37" s="37"/>
      <c r="AC37" s="37"/>
      <c r="AD37" s="37"/>
      <c r="AE37" s="37"/>
      <c r="AF37" s="145"/>
      <c r="AG37" s="37"/>
      <c r="AH37" s="37"/>
      <c r="AI37" s="37"/>
      <c r="AJ37" s="37"/>
      <c r="AK37" s="145"/>
      <c r="AL37" s="37"/>
      <c r="AM37" s="37"/>
      <c r="AN37" s="37"/>
      <c r="AO37" s="37"/>
      <c r="AP37" s="145"/>
      <c r="AQ37" s="37"/>
      <c r="AR37" s="37"/>
      <c r="AS37" s="37"/>
      <c r="AT37" s="37"/>
      <c r="AU37" s="145"/>
      <c r="AV37" s="37"/>
      <c r="AW37" s="37"/>
      <c r="AX37" s="37"/>
      <c r="AY37" s="37"/>
      <c r="AZ37" s="145"/>
      <c r="BA37" s="37"/>
      <c r="BB37" s="37"/>
      <c r="BC37" s="37"/>
      <c r="BD37" s="37"/>
      <c r="BE37" s="145"/>
      <c r="BF37" s="37"/>
      <c r="BG37" s="37"/>
      <c r="BH37" s="37"/>
      <c r="BI37" s="37"/>
      <c r="BJ37" s="145"/>
      <c r="BK37" s="37"/>
      <c r="BL37" s="38"/>
      <c r="BM37" s="38"/>
      <c r="BN37" s="38"/>
      <c r="BO37" s="281"/>
      <c r="BP37" s="38"/>
      <c r="BQ37" s="38"/>
      <c r="BR37" s="38"/>
      <c r="BS37" s="38"/>
      <c r="BT37" s="281"/>
    </row>
    <row r="38" spans="2:72">
      <c r="B38" s="158" t="str">
        <f t="shared" si="23"/>
        <v>Bank loan</v>
      </c>
      <c r="E38" s="145"/>
      <c r="F38" s="145"/>
      <c r="G38" s="145"/>
      <c r="H38" s="37"/>
      <c r="I38" s="37"/>
      <c r="J38" s="37"/>
      <c r="K38" s="37"/>
      <c r="L38" s="145"/>
      <c r="M38" s="37"/>
      <c r="N38" s="37"/>
      <c r="O38" s="37"/>
      <c r="P38" s="37"/>
      <c r="Q38" s="145"/>
      <c r="R38" s="37"/>
      <c r="S38" s="37"/>
      <c r="T38" s="37"/>
      <c r="U38" s="37"/>
      <c r="V38" s="145"/>
      <c r="W38" s="37"/>
      <c r="X38" s="37"/>
      <c r="Y38" s="37"/>
      <c r="Z38" s="37"/>
      <c r="AA38" s="145"/>
      <c r="AB38" s="37"/>
      <c r="AC38" s="37"/>
      <c r="AD38" s="37"/>
      <c r="AE38" s="37"/>
      <c r="AF38" s="145"/>
      <c r="AG38" s="37"/>
      <c r="AH38" s="37"/>
      <c r="AI38" s="37"/>
      <c r="AJ38" s="37"/>
      <c r="AK38" s="145"/>
      <c r="AL38" s="37"/>
      <c r="AM38" s="37"/>
      <c r="AN38" s="37"/>
      <c r="AO38" s="37"/>
      <c r="AP38" s="145"/>
      <c r="AQ38" s="37"/>
      <c r="AR38" s="37"/>
      <c r="AS38" s="37"/>
      <c r="AT38" s="37"/>
      <c r="AU38" s="145"/>
      <c r="AV38" s="37"/>
      <c r="AW38" s="37"/>
      <c r="AX38" s="37"/>
      <c r="AY38" s="37"/>
      <c r="AZ38" s="145"/>
      <c r="BA38" s="37"/>
      <c r="BB38" s="37"/>
      <c r="BC38" s="37"/>
      <c r="BD38" s="37"/>
      <c r="BE38" s="145"/>
      <c r="BF38" s="37"/>
      <c r="BG38" s="37"/>
      <c r="BH38" s="37"/>
      <c r="BI38" s="37"/>
      <c r="BJ38" s="145"/>
      <c r="BK38" s="37"/>
      <c r="BL38" s="38"/>
      <c r="BM38" s="38"/>
      <c r="BN38" s="38"/>
      <c r="BO38" s="281"/>
      <c r="BP38" s="38"/>
      <c r="BQ38" s="38"/>
      <c r="BR38" s="38"/>
      <c r="BS38" s="38"/>
      <c r="BT38" s="281"/>
    </row>
    <row r="39" spans="2:72">
      <c r="B39" s="158" t="str">
        <f t="shared" si="23"/>
        <v>Bank loan</v>
      </c>
      <c r="E39" s="145"/>
      <c r="F39" s="145"/>
      <c r="G39" s="145"/>
      <c r="H39" s="37"/>
      <c r="I39" s="37"/>
      <c r="J39" s="37"/>
      <c r="K39" s="37"/>
      <c r="L39" s="145"/>
      <c r="M39" s="37"/>
      <c r="N39" s="37"/>
      <c r="O39" s="37"/>
      <c r="P39" s="37"/>
      <c r="Q39" s="145"/>
      <c r="R39" s="37"/>
      <c r="S39" s="37"/>
      <c r="T39" s="37"/>
      <c r="U39" s="37"/>
      <c r="V39" s="145"/>
      <c r="W39" s="37"/>
      <c r="X39" s="37"/>
      <c r="Y39" s="37"/>
      <c r="Z39" s="37"/>
      <c r="AA39" s="145"/>
      <c r="AB39" s="37"/>
      <c r="AC39" s="37"/>
      <c r="AD39" s="37"/>
      <c r="AE39" s="37"/>
      <c r="AF39" s="145"/>
      <c r="AG39" s="37"/>
      <c r="AH39" s="37"/>
      <c r="AI39" s="37"/>
      <c r="AJ39" s="37"/>
      <c r="AK39" s="145"/>
      <c r="AL39" s="37"/>
      <c r="AM39" s="37"/>
      <c r="AN39" s="37"/>
      <c r="AO39" s="37"/>
      <c r="AP39" s="145"/>
      <c r="AQ39" s="37"/>
      <c r="AR39" s="37"/>
      <c r="AS39" s="37"/>
      <c r="AT39" s="37"/>
      <c r="AU39" s="145"/>
      <c r="AV39" s="37"/>
      <c r="AW39" s="37"/>
      <c r="AX39" s="37"/>
      <c r="AY39" s="37"/>
      <c r="AZ39" s="145"/>
      <c r="BA39" s="37"/>
      <c r="BB39" s="37"/>
      <c r="BC39" s="37"/>
      <c r="BD39" s="37"/>
      <c r="BE39" s="145"/>
      <c r="BF39" s="37"/>
      <c r="BG39" s="37"/>
      <c r="BH39" s="37"/>
      <c r="BI39" s="37"/>
      <c r="BJ39" s="145"/>
      <c r="BK39" s="37"/>
      <c r="BL39" s="38"/>
      <c r="BM39" s="38"/>
      <c r="BN39" s="38"/>
      <c r="BO39" s="281"/>
      <c r="BP39" s="38"/>
      <c r="BQ39" s="38"/>
      <c r="BR39" s="38"/>
      <c r="BS39" s="38"/>
      <c r="BT39" s="281"/>
    </row>
    <row r="40" spans="2:72">
      <c r="B40" s="158" t="str">
        <f t="shared" si="23"/>
        <v>Senior notes</v>
      </c>
      <c r="E40" s="145"/>
      <c r="F40" s="145"/>
      <c r="G40" s="145"/>
      <c r="H40" s="37"/>
      <c r="I40" s="37"/>
      <c r="J40" s="37"/>
      <c r="K40" s="37"/>
      <c r="L40" s="145"/>
      <c r="M40" s="37"/>
      <c r="N40" s="37"/>
      <c r="O40" s="37"/>
      <c r="P40" s="37"/>
      <c r="Q40" s="145"/>
      <c r="R40" s="37"/>
      <c r="S40" s="37"/>
      <c r="T40" s="37"/>
      <c r="U40" s="37"/>
      <c r="V40" s="145"/>
      <c r="W40" s="37"/>
      <c r="X40" s="37"/>
      <c r="Y40" s="37"/>
      <c r="Z40" s="37"/>
      <c r="AA40" s="145"/>
      <c r="AB40" s="37"/>
      <c r="AC40" s="37"/>
      <c r="AD40" s="37"/>
      <c r="AE40" s="37"/>
      <c r="AF40" s="145"/>
      <c r="AG40" s="37"/>
      <c r="AH40" s="37"/>
      <c r="AI40" s="37"/>
      <c r="AJ40" s="37"/>
      <c r="AK40" s="145"/>
      <c r="AL40" s="37"/>
      <c r="AM40" s="37"/>
      <c r="AN40" s="37"/>
      <c r="AO40" s="37"/>
      <c r="AP40" s="145"/>
      <c r="AQ40" s="37"/>
      <c r="AR40" s="37"/>
      <c r="AS40" s="37"/>
      <c r="AT40" s="37"/>
      <c r="AU40" s="145"/>
      <c r="AV40" s="37"/>
      <c r="AW40" s="37"/>
      <c r="AX40" s="37"/>
      <c r="AY40" s="37"/>
      <c r="AZ40" s="145"/>
      <c r="BA40" s="37"/>
      <c r="BB40" s="37"/>
      <c r="BC40" s="37"/>
      <c r="BD40" s="37"/>
      <c r="BE40" s="145"/>
      <c r="BF40" s="37"/>
      <c r="BG40" s="37"/>
      <c r="BH40" s="37"/>
      <c r="BI40" s="37"/>
      <c r="BJ40" s="145"/>
      <c r="BK40" s="37"/>
      <c r="BL40" s="38"/>
      <c r="BM40" s="38"/>
      <c r="BN40" s="38"/>
      <c r="BO40" s="281"/>
      <c r="BP40" s="38"/>
      <c r="BQ40" s="38"/>
      <c r="BR40" s="38"/>
      <c r="BS40" s="38"/>
      <c r="BT40" s="281"/>
    </row>
    <row r="41" spans="2:72">
      <c r="B41" s="158" t="str">
        <f t="shared" si="23"/>
        <v>Senior notes</v>
      </c>
      <c r="E41" s="145"/>
      <c r="F41" s="145"/>
      <c r="G41" s="145"/>
      <c r="H41" s="37"/>
      <c r="I41" s="37"/>
      <c r="J41" s="37"/>
      <c r="K41" s="37"/>
      <c r="L41" s="145"/>
      <c r="M41" s="37"/>
      <c r="N41" s="37"/>
      <c r="O41" s="37"/>
      <c r="P41" s="37"/>
      <c r="Q41" s="145"/>
      <c r="R41" s="37"/>
      <c r="S41" s="37"/>
      <c r="T41" s="37"/>
      <c r="U41" s="37"/>
      <c r="V41" s="145"/>
      <c r="W41" s="37"/>
      <c r="X41" s="37"/>
      <c r="Y41" s="37"/>
      <c r="Z41" s="37"/>
      <c r="AA41" s="145"/>
      <c r="AB41" s="37"/>
      <c r="AC41" s="37"/>
      <c r="AD41" s="37"/>
      <c r="AE41" s="37"/>
      <c r="AF41" s="145"/>
      <c r="AG41" s="37"/>
      <c r="AH41" s="37"/>
      <c r="AI41" s="37"/>
      <c r="AJ41" s="37"/>
      <c r="AK41" s="145"/>
      <c r="AL41" s="37"/>
      <c r="AM41" s="37"/>
      <c r="AN41" s="37"/>
      <c r="AO41" s="37"/>
      <c r="AP41" s="145"/>
      <c r="AQ41" s="37"/>
      <c r="AR41" s="37"/>
      <c r="AS41" s="37"/>
      <c r="AT41" s="37"/>
      <c r="AU41" s="145"/>
      <c r="AV41" s="37"/>
      <c r="AW41" s="37"/>
      <c r="AX41" s="37"/>
      <c r="AY41" s="37"/>
      <c r="AZ41" s="145"/>
      <c r="BA41" s="37"/>
      <c r="BB41" s="37"/>
      <c r="BC41" s="37"/>
      <c r="BD41" s="37"/>
      <c r="BE41" s="145"/>
      <c r="BF41" s="37"/>
      <c r="BG41" s="37"/>
      <c r="BH41" s="37"/>
      <c r="BI41" s="37"/>
      <c r="BJ41" s="145"/>
      <c r="BK41" s="37"/>
      <c r="BL41" s="38"/>
      <c r="BM41" s="38"/>
      <c r="BN41" s="38"/>
      <c r="BO41" s="281"/>
      <c r="BP41" s="38"/>
      <c r="BQ41" s="38"/>
      <c r="BR41" s="38"/>
      <c r="BS41" s="38"/>
      <c r="BT41" s="281"/>
    </row>
    <row r="42" spans="2:72">
      <c r="B42" s="163" t="str">
        <f t="shared" si="23"/>
        <v>Subordinated notes</v>
      </c>
      <c r="E42" s="145"/>
      <c r="F42" s="145"/>
      <c r="G42" s="145"/>
      <c r="H42" s="37"/>
      <c r="I42" s="37"/>
      <c r="J42" s="37"/>
      <c r="K42" s="37"/>
      <c r="L42" s="145"/>
      <c r="M42" s="37"/>
      <c r="N42" s="37"/>
      <c r="O42" s="37"/>
      <c r="P42" s="37"/>
      <c r="Q42" s="145"/>
      <c r="R42" s="37"/>
      <c r="S42" s="37"/>
      <c r="T42" s="37"/>
      <c r="U42" s="37"/>
      <c r="V42" s="145"/>
      <c r="W42" s="37"/>
      <c r="X42" s="37"/>
      <c r="Y42" s="37"/>
      <c r="Z42" s="37"/>
      <c r="AA42" s="145"/>
      <c r="AB42" s="37"/>
      <c r="AC42" s="37"/>
      <c r="AD42" s="37"/>
      <c r="AE42" s="37"/>
      <c r="AF42" s="145"/>
      <c r="AG42" s="37"/>
      <c r="AH42" s="37"/>
      <c r="AI42" s="37"/>
      <c r="AJ42" s="37"/>
      <c r="AK42" s="145"/>
      <c r="AL42" s="37"/>
      <c r="AM42" s="37"/>
      <c r="AN42" s="37"/>
      <c r="AO42" s="37"/>
      <c r="AP42" s="145"/>
      <c r="AQ42" s="37"/>
      <c r="AR42" s="37"/>
      <c r="AS42" s="37"/>
      <c r="AT42" s="37"/>
      <c r="AU42" s="145"/>
      <c r="AV42" s="37"/>
      <c r="AW42" s="37"/>
      <c r="AX42" s="37"/>
      <c r="AY42" s="37"/>
      <c r="AZ42" s="145"/>
      <c r="BA42" s="37"/>
      <c r="BB42" s="37"/>
      <c r="BC42" s="37"/>
      <c r="BD42" s="37"/>
      <c r="BE42" s="145"/>
      <c r="BF42" s="37"/>
      <c r="BG42" s="37"/>
      <c r="BH42" s="37"/>
      <c r="BI42" s="37"/>
      <c r="BJ42" s="145"/>
      <c r="BK42" s="37"/>
      <c r="BL42" s="38"/>
      <c r="BM42" s="38"/>
      <c r="BN42" s="38"/>
      <c r="BO42" s="281"/>
      <c r="BP42" s="38"/>
      <c r="BQ42" s="38"/>
      <c r="BR42" s="38"/>
      <c r="BS42" s="38"/>
      <c r="BT42" s="281"/>
    </row>
    <row r="43" spans="2:72">
      <c r="B43" s="21" t="s">
        <v>251</v>
      </c>
      <c r="E43" s="289">
        <f t="shared" ref="E43:AF43" si="24">SUM(E36:E42)</f>
        <v>0</v>
      </c>
      <c r="F43" s="289">
        <f t="shared" si="24"/>
        <v>0</v>
      </c>
      <c r="G43" s="289">
        <f t="shared" si="24"/>
        <v>0</v>
      </c>
      <c r="H43" s="288">
        <f t="shared" si="24"/>
        <v>0</v>
      </c>
      <c r="I43" s="288">
        <f t="shared" si="24"/>
        <v>0</v>
      </c>
      <c r="J43" s="288">
        <f t="shared" si="24"/>
        <v>0</v>
      </c>
      <c r="K43" s="288">
        <f t="shared" si="24"/>
        <v>0</v>
      </c>
      <c r="L43" s="289">
        <f t="shared" si="24"/>
        <v>0</v>
      </c>
      <c r="M43" s="288">
        <f t="shared" si="24"/>
        <v>0</v>
      </c>
      <c r="N43" s="288">
        <f t="shared" si="24"/>
        <v>0</v>
      </c>
      <c r="O43" s="288">
        <f t="shared" si="24"/>
        <v>0</v>
      </c>
      <c r="P43" s="288">
        <f t="shared" si="24"/>
        <v>0</v>
      </c>
      <c r="Q43" s="289">
        <f t="shared" si="24"/>
        <v>0</v>
      </c>
      <c r="R43" s="288">
        <f t="shared" si="24"/>
        <v>0</v>
      </c>
      <c r="S43" s="288">
        <f t="shared" si="24"/>
        <v>0</v>
      </c>
      <c r="T43" s="288">
        <f t="shared" si="24"/>
        <v>0</v>
      </c>
      <c r="U43" s="288">
        <f t="shared" si="24"/>
        <v>0</v>
      </c>
      <c r="V43" s="289">
        <f t="shared" si="24"/>
        <v>0</v>
      </c>
      <c r="W43" s="288">
        <f t="shared" si="24"/>
        <v>0</v>
      </c>
      <c r="X43" s="288">
        <f t="shared" si="24"/>
        <v>0</v>
      </c>
      <c r="Y43" s="288">
        <f t="shared" si="24"/>
        <v>0</v>
      </c>
      <c r="Z43" s="288">
        <f t="shared" si="24"/>
        <v>0</v>
      </c>
      <c r="AA43" s="289">
        <f t="shared" si="24"/>
        <v>0</v>
      </c>
      <c r="AB43" s="288">
        <f t="shared" si="24"/>
        <v>0</v>
      </c>
      <c r="AC43" s="288">
        <f t="shared" si="24"/>
        <v>0</v>
      </c>
      <c r="AD43" s="288">
        <f t="shared" si="24"/>
        <v>0</v>
      </c>
      <c r="AE43" s="288">
        <f t="shared" si="24"/>
        <v>0</v>
      </c>
      <c r="AF43" s="289">
        <f t="shared" si="24"/>
        <v>0</v>
      </c>
      <c r="AG43" s="288">
        <f t="shared" ref="AG43:BL43" si="25">SUM(AG36:AG42)</f>
        <v>0</v>
      </c>
      <c r="AH43" s="288">
        <f t="shared" si="25"/>
        <v>0</v>
      </c>
      <c r="AI43" s="288">
        <f t="shared" si="25"/>
        <v>0</v>
      </c>
      <c r="AJ43" s="288">
        <f t="shared" si="25"/>
        <v>0</v>
      </c>
      <c r="AK43" s="289">
        <f t="shared" si="25"/>
        <v>0</v>
      </c>
      <c r="AL43" s="288">
        <f t="shared" si="25"/>
        <v>0</v>
      </c>
      <c r="AM43" s="288">
        <f t="shared" si="25"/>
        <v>0</v>
      </c>
      <c r="AN43" s="288">
        <f t="shared" si="25"/>
        <v>0</v>
      </c>
      <c r="AO43" s="288">
        <f t="shared" si="25"/>
        <v>0</v>
      </c>
      <c r="AP43" s="289">
        <f t="shared" si="25"/>
        <v>0</v>
      </c>
      <c r="AQ43" s="288">
        <f t="shared" si="25"/>
        <v>0</v>
      </c>
      <c r="AR43" s="288">
        <f t="shared" si="25"/>
        <v>0</v>
      </c>
      <c r="AS43" s="288">
        <f t="shared" si="25"/>
        <v>0</v>
      </c>
      <c r="AT43" s="288">
        <f t="shared" si="25"/>
        <v>0</v>
      </c>
      <c r="AU43" s="289">
        <f t="shared" si="25"/>
        <v>0</v>
      </c>
      <c r="AV43" s="288">
        <f t="shared" si="25"/>
        <v>0</v>
      </c>
      <c r="AW43" s="288">
        <f t="shared" si="25"/>
        <v>0</v>
      </c>
      <c r="AX43" s="288">
        <f t="shared" si="25"/>
        <v>0</v>
      </c>
      <c r="AY43" s="288">
        <f t="shared" si="25"/>
        <v>0</v>
      </c>
      <c r="AZ43" s="289">
        <f t="shared" si="25"/>
        <v>0</v>
      </c>
      <c r="BA43" s="288">
        <f t="shared" si="25"/>
        <v>0</v>
      </c>
      <c r="BB43" s="288">
        <f t="shared" si="25"/>
        <v>0</v>
      </c>
      <c r="BC43" s="288">
        <f t="shared" si="25"/>
        <v>0</v>
      </c>
      <c r="BD43" s="288">
        <f t="shared" si="25"/>
        <v>0</v>
      </c>
      <c r="BE43" s="289">
        <f t="shared" si="25"/>
        <v>0</v>
      </c>
      <c r="BF43" s="288">
        <f t="shared" si="25"/>
        <v>0</v>
      </c>
      <c r="BG43" s="288">
        <f t="shared" si="25"/>
        <v>0</v>
      </c>
      <c r="BH43" s="288">
        <f>SUM(BH36:BH42)</f>
        <v>0</v>
      </c>
      <c r="BI43" s="288">
        <f>SUM(BI36:BI42)</f>
        <v>0</v>
      </c>
      <c r="BJ43" s="289">
        <f>SUM(BJ36:BJ42)</f>
        <v>0</v>
      </c>
      <c r="BK43" s="288">
        <f>SUM(BK36:BK42)</f>
        <v>0</v>
      </c>
      <c r="BL43" s="352">
        <f t="shared" si="25"/>
        <v>0</v>
      </c>
      <c r="BM43" s="352">
        <f t="shared" ref="BM43:BT43" si="26">SUM(BM36:BM42)</f>
        <v>0</v>
      </c>
      <c r="BN43" s="352">
        <f t="shared" si="26"/>
        <v>0</v>
      </c>
      <c r="BO43" s="353">
        <f t="shared" si="26"/>
        <v>0</v>
      </c>
      <c r="BP43" s="352">
        <f t="shared" si="26"/>
        <v>0</v>
      </c>
      <c r="BQ43" s="352">
        <f t="shared" si="26"/>
        <v>0</v>
      </c>
      <c r="BR43" s="352">
        <f t="shared" si="26"/>
        <v>0</v>
      </c>
      <c r="BS43" s="352">
        <f t="shared" si="26"/>
        <v>0</v>
      </c>
      <c r="BT43" s="353">
        <f t="shared" si="26"/>
        <v>0</v>
      </c>
    </row>
  </sheetData>
  <phoneticPr fontId="32" type="noConversion"/>
  <pageMargins left="0.25" right="0.25" top="0.75" bottom="0.75" header="0.3" footer="0.3"/>
  <pageSetup scale="86" orientation="landscape" r:id="rId1"/>
  <headerFooter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2861A-90D3-4AAD-80F0-7BA50773CA42}">
  <dimension ref="A1:A6"/>
  <sheetViews>
    <sheetView zoomScale="85" workbookViewId="0">
      <pane ySplit="2" topLeftCell="A3" activePane="bottomLeft" state="frozen"/>
      <selection activeCell="B110" sqref="B110"/>
      <selection pane="bottomLeft" activeCell="A3" sqref="A3"/>
    </sheetView>
  </sheetViews>
  <sheetFormatPr baseColWidth="10" defaultColWidth="9.3984375" defaultRowHeight="13"/>
  <cols>
    <col min="1" max="1" width="3.3984375" style="20" customWidth="1"/>
    <col min="2" max="2" width="13.19921875" style="20" customWidth="1"/>
    <col min="3" max="3" width="12.796875" style="20" customWidth="1"/>
    <col min="4" max="4" width="3.3984375" style="20" customWidth="1"/>
    <col min="5" max="6" width="9.3984375" style="20"/>
    <col min="7" max="7" width="11.3984375" style="20" bestFit="1" customWidth="1"/>
    <col min="8" max="8" width="10.3984375" style="20" bestFit="1" customWidth="1"/>
    <col min="9" max="16384" width="9.3984375" style="20"/>
  </cols>
  <sheetData>
    <row r="1" spans="1:1" ht="18">
      <c r="A1" s="26" t="str">
        <f>+'Summary Pg'!B1</f>
        <v>Name of Company</v>
      </c>
    </row>
    <row r="2" spans="1:1" ht="18">
      <c r="A2" s="26" t="s">
        <v>337</v>
      </c>
    </row>
    <row r="5" spans="1:1">
      <c r="A5" s="21" t="s">
        <v>338</v>
      </c>
    </row>
    <row r="6" spans="1:1">
      <c r="A6" s="20" t="s">
        <v>339</v>
      </c>
    </row>
  </sheetData>
  <phoneticPr fontId="32" type="noConversion"/>
  <pageMargins left="0.25" right="0.25" top="0.75" bottom="0.75" header="0.3" footer="0.3"/>
  <pageSetup orientation="portrait" r:id="rId1"/>
  <headerFooter alignWithMargins="0">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F48A-1A22-4088-B7DA-69FB856F4720}">
  <sheetPr>
    <pageSetUpPr fitToPage="1"/>
  </sheetPr>
  <dimension ref="A1:A2"/>
  <sheetViews>
    <sheetView zoomScale="75" workbookViewId="0">
      <selection activeCell="A2" sqref="A2"/>
    </sheetView>
  </sheetViews>
  <sheetFormatPr baseColWidth="10" defaultColWidth="9.3984375" defaultRowHeight="13"/>
  <cols>
    <col min="1" max="16384" width="9.3984375" style="20"/>
  </cols>
  <sheetData>
    <row r="1" spans="1:1" ht="20">
      <c r="A1" s="35" t="str">
        <f>+'Summary Pg'!B1</f>
        <v>Name of Company</v>
      </c>
    </row>
    <row r="2" spans="1:1" ht="18">
      <c r="A2" s="26" t="s">
        <v>340</v>
      </c>
    </row>
  </sheetData>
  <phoneticPr fontId="32" type="noConversion"/>
  <pageMargins left="0.25" right="0.25" top="0.75" bottom="0.75" header="0.3" footer="0.3"/>
  <pageSetup orientation="portrait" r:id="rId1"/>
  <headerFooter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FEDD-FDE8-49D7-BE64-E4C377522905}">
  <sheetPr>
    <pageSetUpPr fitToPage="1"/>
  </sheetPr>
  <dimension ref="A1:D2"/>
  <sheetViews>
    <sheetView zoomScale="75" workbookViewId="0">
      <selection activeCell="A2" sqref="A2"/>
    </sheetView>
  </sheetViews>
  <sheetFormatPr baseColWidth="10" defaultColWidth="40.19921875" defaultRowHeight="13"/>
  <cols>
    <col min="1" max="1" width="40.19921875" style="20" customWidth="1"/>
    <col min="2" max="2" width="6.19921875" style="20" customWidth="1"/>
    <col min="3" max="3" width="5.19921875" style="20" customWidth="1"/>
    <col min="4" max="4" width="5" style="20" customWidth="1"/>
    <col min="5" max="5" width="16.59765625" style="20" customWidth="1"/>
    <col min="6" max="6" width="5.3984375" style="20" customWidth="1"/>
    <col min="7" max="7" width="17.59765625" style="20" customWidth="1"/>
    <col min="8" max="8" width="9.3984375" style="20" customWidth="1"/>
    <col min="9" max="16384" width="40.19921875" style="20"/>
  </cols>
  <sheetData>
    <row r="1" spans="1:4" ht="20">
      <c r="A1" s="35" t="str">
        <f>+'Summary Pg'!B1</f>
        <v>Name of Company</v>
      </c>
      <c r="B1" s="29"/>
      <c r="C1" s="22"/>
      <c r="D1" s="29"/>
    </row>
    <row r="2" spans="1:4">
      <c r="A2" s="36" t="s">
        <v>341</v>
      </c>
      <c r="B2" s="29"/>
      <c r="C2" s="22"/>
      <c r="D2" s="29"/>
    </row>
  </sheetData>
  <phoneticPr fontId="32" type="noConversion"/>
  <pageMargins left="0.25" right="0.25" top="0.75" bottom="0.75" header="0.3" footer="0.3"/>
  <pageSetup orientation="portrait" r:id="rId1"/>
  <headerFooter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F706-8404-457E-AE98-5FC72C128841}">
  <sheetPr>
    <pageSetUpPr fitToPage="1"/>
  </sheetPr>
  <dimension ref="B1:X42"/>
  <sheetViews>
    <sheetView zoomScale="70" zoomScaleNormal="70" workbookViewId="0">
      <selection activeCell="P22" sqref="P22"/>
    </sheetView>
  </sheetViews>
  <sheetFormatPr baseColWidth="10" defaultColWidth="12.3984375" defaultRowHeight="13"/>
  <cols>
    <col min="1" max="1" width="2.59765625" style="45" customWidth="1"/>
    <col min="2" max="2" width="17.3984375" style="45" customWidth="1"/>
    <col min="3" max="3" width="11.3984375" style="45" customWidth="1"/>
    <col min="4" max="5" width="15.19921875" style="45" customWidth="1"/>
    <col min="6" max="6" width="9.3984375" style="45" customWidth="1"/>
    <col min="7" max="7" width="10.59765625" style="45" customWidth="1"/>
    <col min="8" max="8" width="11.796875" style="45" customWidth="1"/>
    <col min="9" max="9" width="11.19921875" style="45" customWidth="1"/>
    <col min="10" max="10" width="10.3984375" style="45" customWidth="1"/>
    <col min="11" max="11" width="11.796875" style="45" customWidth="1"/>
    <col min="12" max="12" width="9.59765625" style="45" customWidth="1"/>
    <col min="13" max="14" width="9.19921875" style="45" customWidth="1"/>
    <col min="15" max="15" width="8.3984375" style="45" customWidth="1"/>
    <col min="16" max="16" width="12" style="45" customWidth="1"/>
    <col min="17" max="17" width="13.3984375" style="45" customWidth="1"/>
    <col min="18" max="18" width="13.796875" style="45" customWidth="1"/>
    <col min="19" max="19" width="9" style="45" customWidth="1"/>
    <col min="20" max="20" width="7.3984375" style="45" customWidth="1"/>
    <col min="21" max="22" width="11.59765625" style="45" customWidth="1"/>
    <col min="23" max="23" width="7" style="45" customWidth="1"/>
    <col min="24" max="25" width="10.3984375" style="45" customWidth="1"/>
    <col min="26" max="26" width="6.3984375" style="45" customWidth="1"/>
    <col min="27" max="27" width="8.796875" style="45" customWidth="1"/>
    <col min="28" max="28" width="8.59765625" style="45" customWidth="1"/>
    <col min="29" max="16384" width="12.3984375" style="45"/>
  </cols>
  <sheetData>
    <row r="1" spans="2:24" ht="23">
      <c r="B1" s="46" t="str">
        <f>+'Summary Pg'!B1</f>
        <v>Name of Company</v>
      </c>
      <c r="G1" s="47"/>
      <c r="H1" s="47"/>
      <c r="I1" s="48"/>
      <c r="J1" s="49"/>
      <c r="N1" s="50"/>
    </row>
    <row r="2" spans="2:24" ht="16">
      <c r="B2" s="51" t="s">
        <v>342</v>
      </c>
    </row>
    <row r="3" spans="2:24" ht="16">
      <c r="B3" s="52"/>
      <c r="C3" s="53"/>
      <c r="D3" s="53"/>
      <c r="E3" s="53"/>
      <c r="F3" s="53"/>
    </row>
    <row r="4" spans="2:24" ht="13.5" customHeight="1">
      <c r="B4" s="53"/>
      <c r="C4" s="53"/>
      <c r="D4" s="53"/>
      <c r="E4" s="53"/>
      <c r="F4" s="53"/>
    </row>
    <row r="5" spans="2:24" ht="13.5" customHeight="1">
      <c r="B5" s="53"/>
      <c r="C5" s="53"/>
      <c r="D5" s="53"/>
      <c r="E5" s="53"/>
      <c r="F5" s="53"/>
    </row>
    <row r="6" spans="2:24" ht="13.5" customHeight="1">
      <c r="B6" s="53"/>
      <c r="C6" s="53"/>
      <c r="D6" s="53"/>
      <c r="E6" s="53"/>
      <c r="F6" s="53"/>
    </row>
    <row r="7" spans="2:24" ht="15" customHeight="1" thickBot="1">
      <c r="B7" s="70" t="s">
        <v>343</v>
      </c>
      <c r="C7" s="71"/>
      <c r="D7" s="71"/>
      <c r="E7" s="72"/>
      <c r="F7" s="53"/>
      <c r="J7" s="54"/>
      <c r="O7" s="55" t="s">
        <v>344</v>
      </c>
      <c r="P7" s="56"/>
      <c r="Q7" s="57" t="s">
        <v>345</v>
      </c>
      <c r="R7" s="58" t="s">
        <v>346</v>
      </c>
    </row>
    <row r="8" spans="2:24" ht="15" customHeight="1">
      <c r="B8" s="75" t="s">
        <v>347</v>
      </c>
      <c r="C8" s="53"/>
      <c r="D8" s="337" t="s">
        <v>345</v>
      </c>
      <c r="E8" s="76"/>
      <c r="F8" s="53"/>
      <c r="H8" s="59"/>
      <c r="I8" s="60"/>
      <c r="J8" s="60"/>
      <c r="K8" s="60"/>
      <c r="L8" s="61"/>
      <c r="O8" s="62" t="s">
        <v>348</v>
      </c>
      <c r="R8" s="63"/>
    </row>
    <row r="9" spans="2:24" ht="15" customHeight="1" thickBot="1">
      <c r="B9" s="78" t="s">
        <v>349</v>
      </c>
      <c r="C9" s="79"/>
      <c r="D9" s="80" t="s">
        <v>350</v>
      </c>
      <c r="E9" s="81"/>
      <c r="F9" s="82"/>
      <c r="H9" s="64" t="s">
        <v>351</v>
      </c>
      <c r="I9" s="65"/>
      <c r="J9" s="65"/>
      <c r="K9" s="66"/>
      <c r="L9" s="67"/>
      <c r="O9" s="68" t="s">
        <v>352</v>
      </c>
      <c r="Q9" s="118"/>
      <c r="R9" s="69"/>
      <c r="T9" s="84"/>
      <c r="U9" s="84"/>
      <c r="V9" s="84"/>
      <c r="W9" s="84"/>
      <c r="X9" s="84"/>
    </row>
    <row r="10" spans="2:24" ht="15" customHeight="1">
      <c r="B10" s="85" t="s">
        <v>353</v>
      </c>
      <c r="C10" s="86"/>
      <c r="D10" s="53" t="s">
        <v>354</v>
      </c>
      <c r="E10" s="69"/>
      <c r="F10" s="82"/>
      <c r="H10" s="73"/>
      <c r="I10" s="65"/>
      <c r="J10" s="65"/>
      <c r="K10" s="66"/>
      <c r="L10" s="67"/>
      <c r="O10" s="68" t="s">
        <v>355</v>
      </c>
      <c r="Q10" s="74"/>
      <c r="R10" s="69"/>
      <c r="T10" s="84"/>
      <c r="U10" s="84"/>
      <c r="V10" s="84"/>
      <c r="W10" s="84"/>
      <c r="X10" s="84"/>
    </row>
    <row r="11" spans="2:24" ht="15" customHeight="1">
      <c r="B11" s="85" t="s">
        <v>337</v>
      </c>
      <c r="C11" s="86"/>
      <c r="D11" s="53" t="s">
        <v>356</v>
      </c>
      <c r="E11" s="69"/>
      <c r="F11" s="82"/>
      <c r="H11" s="73" t="s">
        <v>357</v>
      </c>
      <c r="K11" s="146"/>
      <c r="L11" s="155">
        <v>0</v>
      </c>
      <c r="O11" s="68" t="s">
        <v>355</v>
      </c>
      <c r="Q11" s="74"/>
      <c r="R11" s="69"/>
      <c r="T11" s="84"/>
      <c r="U11" s="84"/>
      <c r="V11" s="84"/>
      <c r="W11" s="84"/>
      <c r="X11" s="84"/>
    </row>
    <row r="12" spans="2:24" ht="15" customHeight="1">
      <c r="B12" s="85" t="s">
        <v>358</v>
      </c>
      <c r="C12" s="86"/>
      <c r="D12" s="53" t="s">
        <v>359</v>
      </c>
      <c r="E12" s="69"/>
      <c r="F12" s="82"/>
      <c r="H12" s="73"/>
      <c r="I12" s="141"/>
      <c r="J12" s="141"/>
      <c r="K12" s="142"/>
      <c r="L12" s="156">
        <v>0</v>
      </c>
      <c r="M12" s="77"/>
      <c r="O12" s="68" t="s">
        <v>360</v>
      </c>
      <c r="Q12" s="83"/>
      <c r="R12" s="69"/>
      <c r="T12" s="84"/>
      <c r="U12" s="84"/>
      <c r="V12" s="84"/>
      <c r="W12" s="84"/>
      <c r="X12" s="84"/>
    </row>
    <row r="13" spans="2:24" ht="15" customHeight="1">
      <c r="B13" s="93" t="s">
        <v>118</v>
      </c>
      <c r="C13" s="94"/>
      <c r="D13" s="95" t="s">
        <v>361</v>
      </c>
      <c r="E13" s="96"/>
      <c r="F13" s="82"/>
      <c r="H13" s="147"/>
      <c r="I13" s="148"/>
      <c r="J13" s="148"/>
      <c r="K13" s="149"/>
      <c r="L13" s="157">
        <v>0</v>
      </c>
      <c r="O13" s="68" t="s">
        <v>360</v>
      </c>
      <c r="Q13" s="83"/>
      <c r="R13" s="87"/>
      <c r="T13" s="84"/>
      <c r="U13" s="84"/>
      <c r="V13" s="84"/>
      <c r="W13" s="84"/>
      <c r="X13" s="84"/>
    </row>
    <row r="14" spans="2:24" ht="15" customHeight="1" thickBot="1">
      <c r="B14" s="97" t="s">
        <v>251</v>
      </c>
      <c r="C14" s="98">
        <f>SUM(C10:C13)</f>
        <v>0</v>
      </c>
      <c r="D14" s="99" t="s">
        <v>251</v>
      </c>
      <c r="E14" s="100">
        <f>SUM(E10:E13)</f>
        <v>0</v>
      </c>
      <c r="F14" s="82"/>
      <c r="H14" s="151" t="s">
        <v>362</v>
      </c>
      <c r="I14" s="152"/>
      <c r="J14" s="152"/>
      <c r="K14" s="153"/>
      <c r="L14" s="154">
        <f>SUM(L11:L13)</f>
        <v>0</v>
      </c>
      <c r="O14" s="89" t="s">
        <v>363</v>
      </c>
      <c r="P14" s="90"/>
      <c r="Q14" s="90"/>
      <c r="R14" s="91">
        <f>SUM(R9:R13)</f>
        <v>0</v>
      </c>
      <c r="T14" s="84"/>
      <c r="U14" s="84"/>
      <c r="V14" s="84"/>
      <c r="W14" s="84"/>
      <c r="X14" s="84"/>
    </row>
    <row r="15" spans="2:24" ht="15" customHeight="1" thickBot="1">
      <c r="B15" s="101" t="s">
        <v>99</v>
      </c>
      <c r="C15" s="102"/>
      <c r="D15" s="103" t="s">
        <v>364</v>
      </c>
      <c r="E15" s="104" t="e">
        <f>E14/C15</f>
        <v>#DIV/0!</v>
      </c>
      <c r="F15" s="82"/>
      <c r="I15" s="141"/>
      <c r="J15" s="141"/>
      <c r="K15" s="142"/>
      <c r="L15" s="150"/>
      <c r="T15" s="84"/>
      <c r="U15" s="84"/>
      <c r="V15" s="84"/>
      <c r="W15" s="84"/>
      <c r="X15" s="84"/>
    </row>
    <row r="16" spans="2:24" ht="15" customHeight="1">
      <c r="F16" s="88"/>
      <c r="S16" s="65"/>
      <c r="T16" s="92"/>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sheetData>
  <phoneticPr fontId="32" type="noConversion"/>
  <pageMargins left="0.25" right="0.25" top="0.75" bottom="0.75" header="0.3" footer="0.3"/>
  <pageSetup scale="48" orientation="landscape" r:id="rId1"/>
  <headerFooter alignWithMargins="0">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150-6E2C-418E-885B-4ED6648387F9}">
  <sheetPr>
    <pageSetUpPr fitToPage="1"/>
  </sheetPr>
  <dimension ref="A1:H39"/>
  <sheetViews>
    <sheetView zoomScale="70" zoomScaleNormal="70" workbookViewId="0">
      <pane xSplit="2" ySplit="4" topLeftCell="C5" activePane="bottomRight" state="frozen"/>
      <selection pane="topRight" activeCell="M78" sqref="M78"/>
      <selection pane="bottomLeft" activeCell="M78" sqref="M78"/>
      <selection pane="bottomRight" activeCell="H67" sqref="H67"/>
    </sheetView>
  </sheetViews>
  <sheetFormatPr baseColWidth="10" defaultColWidth="9.3984375" defaultRowHeight="13"/>
  <cols>
    <col min="1" max="1" width="40" style="576" customWidth="1"/>
    <col min="2" max="3" width="2.19921875" style="576" customWidth="1"/>
    <col min="4" max="4" width="57.3984375" style="576" customWidth="1"/>
    <col min="5" max="5" width="2.19921875" style="576" customWidth="1"/>
    <col min="6" max="6" width="72.3984375" style="576" customWidth="1"/>
    <col min="7" max="9" width="9.796875" style="576" customWidth="1"/>
    <col min="10" max="16384" width="9.3984375" style="576"/>
  </cols>
  <sheetData>
    <row r="1" spans="1:8" ht="23">
      <c r="A1" s="605" t="str">
        <f>+'Summary Pg'!B1</f>
        <v>Name of Company</v>
      </c>
    </row>
    <row r="2" spans="1:8">
      <c r="A2" s="577" t="s">
        <v>365</v>
      </c>
    </row>
    <row r="4" spans="1:8">
      <c r="A4" s="604"/>
      <c r="D4" s="606"/>
      <c r="F4" s="607"/>
    </row>
    <row r="5" spans="1:8">
      <c r="A5" s="608" t="s">
        <v>366</v>
      </c>
      <c r="B5" s="609"/>
      <c r="C5" s="610"/>
      <c r="D5" s="611"/>
      <c r="E5" s="610"/>
      <c r="F5" s="611"/>
      <c r="G5" s="609"/>
      <c r="H5" s="609"/>
    </row>
    <row r="6" spans="1:8">
      <c r="A6" s="612"/>
      <c r="B6" s="609"/>
      <c r="C6" s="613"/>
      <c r="D6" s="614"/>
      <c r="E6" s="613"/>
      <c r="F6" s="614"/>
      <c r="G6" s="609"/>
      <c r="H6" s="609"/>
    </row>
    <row r="7" spans="1:8" ht="14">
      <c r="A7" s="607" t="s">
        <v>367</v>
      </c>
      <c r="B7" s="609"/>
      <c r="C7" s="615"/>
      <c r="D7" s="616"/>
      <c r="E7" s="610"/>
      <c r="F7" s="611"/>
      <c r="G7" s="609"/>
      <c r="H7" s="609"/>
    </row>
    <row r="8" spans="1:8">
      <c r="A8" s="612"/>
      <c r="B8" s="609"/>
      <c r="C8" s="615"/>
      <c r="D8" s="617"/>
      <c r="E8" s="613"/>
      <c r="F8" s="614"/>
      <c r="G8" s="609"/>
      <c r="H8" s="609"/>
    </row>
    <row r="9" spans="1:8">
      <c r="A9" s="608" t="s">
        <v>368</v>
      </c>
      <c r="B9" s="609"/>
      <c r="C9" s="610"/>
      <c r="D9" s="611"/>
      <c r="E9" s="610"/>
      <c r="F9" s="611"/>
      <c r="G9" s="609"/>
      <c r="H9" s="609"/>
    </row>
    <row r="10" spans="1:8">
      <c r="A10" s="612"/>
      <c r="B10" s="609"/>
      <c r="C10" s="613"/>
      <c r="D10" s="614"/>
      <c r="E10" s="613"/>
      <c r="F10" s="614"/>
      <c r="G10" s="609"/>
      <c r="H10" s="609"/>
    </row>
    <row r="11" spans="1:8">
      <c r="A11" s="608" t="s">
        <v>369</v>
      </c>
      <c r="B11" s="609"/>
      <c r="C11" s="610"/>
      <c r="D11" s="611"/>
      <c r="E11" s="610"/>
      <c r="F11" s="611"/>
      <c r="G11" s="609"/>
      <c r="H11" s="609"/>
    </row>
    <row r="12" spans="1:8">
      <c r="A12" s="608"/>
      <c r="B12" s="609"/>
      <c r="C12" s="615"/>
      <c r="D12" s="617"/>
      <c r="E12" s="615"/>
      <c r="F12" s="617"/>
      <c r="G12" s="609"/>
      <c r="H12" s="609"/>
    </row>
    <row r="13" spans="1:8">
      <c r="A13" s="608"/>
      <c r="B13" s="609"/>
      <c r="C13" s="615"/>
      <c r="D13" s="617"/>
      <c r="E13" s="615"/>
      <c r="F13" s="617"/>
      <c r="G13" s="609"/>
      <c r="H13" s="609"/>
    </row>
    <row r="14" spans="1:8">
      <c r="A14" s="608"/>
      <c r="B14" s="609"/>
      <c r="C14" s="615"/>
      <c r="D14" s="617"/>
      <c r="E14" s="615"/>
      <c r="F14" s="617"/>
      <c r="G14" s="609"/>
      <c r="H14" s="609"/>
    </row>
    <row r="15" spans="1:8">
      <c r="A15" s="608" t="s">
        <v>370</v>
      </c>
      <c r="B15" s="609"/>
      <c r="C15" s="610"/>
      <c r="D15" s="611"/>
      <c r="E15" s="610"/>
      <c r="F15" s="611"/>
      <c r="G15" s="609"/>
      <c r="H15" s="609"/>
    </row>
    <row r="16" spans="1:8">
      <c r="A16" s="618"/>
      <c r="B16" s="609"/>
      <c r="C16" s="615"/>
      <c r="D16" s="617"/>
      <c r="E16" s="615"/>
      <c r="F16" s="619"/>
      <c r="G16" s="609"/>
      <c r="H16" s="609"/>
    </row>
    <row r="17" spans="1:8">
      <c r="A17" s="618"/>
      <c r="B17" s="609"/>
      <c r="C17" s="615"/>
      <c r="D17" s="617"/>
      <c r="E17" s="615"/>
      <c r="F17" s="619"/>
      <c r="G17" s="609"/>
      <c r="H17" s="609"/>
    </row>
    <row r="18" spans="1:8">
      <c r="A18" s="618"/>
      <c r="B18" s="609"/>
      <c r="C18" s="615"/>
      <c r="D18" s="617"/>
      <c r="E18" s="615"/>
      <c r="F18" s="619"/>
      <c r="G18" s="609"/>
      <c r="H18" s="609"/>
    </row>
    <row r="19" spans="1:8">
      <c r="A19" s="618"/>
      <c r="B19" s="609"/>
      <c r="C19" s="615"/>
      <c r="D19" s="617"/>
      <c r="E19" s="615"/>
      <c r="F19" s="619"/>
      <c r="G19" s="609"/>
      <c r="H19" s="609"/>
    </row>
    <row r="20" spans="1:8">
      <c r="A20" s="618"/>
      <c r="B20" s="609"/>
      <c r="C20" s="615"/>
      <c r="D20" s="617"/>
      <c r="E20" s="615"/>
      <c r="F20" s="619"/>
      <c r="G20" s="609"/>
      <c r="H20" s="609"/>
    </row>
    <row r="21" spans="1:8">
      <c r="A21" s="618"/>
      <c r="B21" s="609"/>
      <c r="C21" s="615"/>
      <c r="D21" s="617"/>
      <c r="E21" s="615"/>
      <c r="F21" s="619"/>
      <c r="G21" s="609"/>
      <c r="H21" s="609"/>
    </row>
    <row r="22" spans="1:8">
      <c r="A22" s="608" t="s">
        <v>371</v>
      </c>
      <c r="B22" s="609"/>
      <c r="C22" s="610"/>
      <c r="D22" s="611"/>
      <c r="E22" s="610"/>
      <c r="F22" s="611"/>
      <c r="G22" s="609"/>
      <c r="H22" s="609"/>
    </row>
    <row r="23" spans="1:8">
      <c r="A23" s="612"/>
      <c r="B23" s="609"/>
      <c r="C23" s="613"/>
      <c r="D23" s="614"/>
      <c r="E23" s="613"/>
      <c r="F23" s="614"/>
      <c r="G23" s="609"/>
    </row>
    <row r="24" spans="1:8">
      <c r="A24" s="608" t="s">
        <v>372</v>
      </c>
      <c r="B24" s="604"/>
      <c r="C24" s="620"/>
      <c r="D24" s="611"/>
      <c r="E24" s="621"/>
      <c r="F24" s="622"/>
      <c r="G24" s="609"/>
    </row>
    <row r="25" spans="1:8">
      <c r="A25" s="608"/>
      <c r="B25" s="604"/>
      <c r="C25" s="623"/>
      <c r="D25" s="617"/>
      <c r="E25" s="604"/>
      <c r="F25" s="617"/>
      <c r="G25" s="609"/>
    </row>
    <row r="26" spans="1:8">
      <c r="C26" s="624"/>
      <c r="D26" s="625"/>
      <c r="E26" s="626"/>
      <c r="F26" s="625"/>
      <c r="G26" s="609"/>
    </row>
    <row r="27" spans="1:8">
      <c r="A27" s="608" t="s">
        <v>373</v>
      </c>
      <c r="B27" s="604"/>
      <c r="C27" s="620"/>
      <c r="D27" s="611"/>
      <c r="E27" s="621"/>
      <c r="F27" s="622"/>
      <c r="G27" s="609"/>
    </row>
    <row r="28" spans="1:8">
      <c r="C28" s="624"/>
      <c r="D28" s="625"/>
      <c r="E28" s="626"/>
      <c r="F28" s="625"/>
      <c r="G28" s="609"/>
    </row>
    <row r="29" spans="1:8">
      <c r="A29" s="608" t="s">
        <v>374</v>
      </c>
      <c r="B29" s="604"/>
      <c r="C29" s="620"/>
      <c r="D29" s="611"/>
      <c r="E29" s="621"/>
      <c r="F29" s="622"/>
      <c r="G29" s="609"/>
    </row>
    <row r="30" spans="1:8">
      <c r="C30" s="624"/>
      <c r="D30" s="625"/>
      <c r="E30" s="626"/>
      <c r="F30" s="625"/>
      <c r="G30" s="609"/>
    </row>
    <row r="31" spans="1:8">
      <c r="G31" s="609"/>
    </row>
    <row r="32" spans="1:8">
      <c r="G32" s="609"/>
      <c r="H32" s="609"/>
    </row>
    <row r="33" spans="1:8">
      <c r="G33" s="609"/>
      <c r="H33" s="609"/>
    </row>
    <row r="34" spans="1:8">
      <c r="G34" s="604"/>
      <c r="H34" s="604"/>
    </row>
    <row r="35" spans="1:8">
      <c r="G35" s="604"/>
      <c r="H35" s="604"/>
    </row>
    <row r="37" spans="1:8">
      <c r="G37" s="604"/>
      <c r="H37" s="604"/>
    </row>
    <row r="39" spans="1:8">
      <c r="A39" s="627"/>
    </row>
  </sheetData>
  <pageMargins left="0.25" right="0.25" top="0.75" bottom="0.75" header="0.3" footer="0.3"/>
  <pageSetup fitToWidth="2" orientation="landscape" r:id="rId1"/>
  <headerFooter alignWithMargins="0">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81E4-BAFC-4830-94C1-061FDBE8BFB6}">
  <sheetPr>
    <pageSetUpPr fitToPage="1"/>
  </sheetPr>
  <dimension ref="A1:K131"/>
  <sheetViews>
    <sheetView workbookViewId="0">
      <selection activeCell="A5" sqref="A5"/>
    </sheetView>
  </sheetViews>
  <sheetFormatPr baseColWidth="10" defaultColWidth="9.3984375" defaultRowHeight="13"/>
  <cols>
    <col min="1" max="1" width="13.59765625" style="576" customWidth="1"/>
    <col min="2" max="3" width="14.59765625" style="576" bestFit="1" customWidth="1"/>
    <col min="4" max="4" width="4.3984375" style="576" customWidth="1"/>
    <col min="5" max="5" width="12.59765625" style="576" customWidth="1"/>
    <col min="6" max="6" width="18" style="576" customWidth="1"/>
    <col min="7" max="7" width="12.796875" style="576" bestFit="1" customWidth="1"/>
    <col min="8" max="8" width="4" style="576" customWidth="1"/>
    <col min="9" max="9" width="12.796875" style="576" customWidth="1"/>
    <col min="10" max="10" width="11.3984375" style="576" customWidth="1"/>
    <col min="11" max="11" width="14.19921875" style="576" customWidth="1"/>
    <col min="12" max="16384" width="9.3984375" style="576"/>
  </cols>
  <sheetData>
    <row r="1" spans="1:11" ht="20">
      <c r="A1" s="575" t="str">
        <f>+'Summary Pg'!B1</f>
        <v>Name of Company</v>
      </c>
    </row>
    <row r="4" spans="1:11">
      <c r="A4" s="577" t="s">
        <v>375</v>
      </c>
      <c r="B4" s="578"/>
    </row>
    <row r="5" spans="1:11">
      <c r="A5" s="577"/>
    </row>
    <row r="6" spans="1:11">
      <c r="A6" s="579" t="s">
        <v>376</v>
      </c>
      <c r="B6" s="580"/>
      <c r="C6" s="581"/>
      <c r="D6" s="582"/>
      <c r="E6" s="579" t="s">
        <v>377</v>
      </c>
      <c r="F6" s="580"/>
      <c r="G6" s="581"/>
      <c r="H6" s="583"/>
      <c r="I6" s="579" t="s">
        <v>378</v>
      </c>
      <c r="J6" s="580"/>
      <c r="K6" s="581"/>
    </row>
    <row r="7" spans="1:11">
      <c r="A7" s="584"/>
      <c r="B7" s="582"/>
      <c r="C7" s="585"/>
      <c r="D7" s="582"/>
      <c r="E7" s="584"/>
      <c r="F7" s="582"/>
      <c r="G7" s="585"/>
      <c r="H7" s="583"/>
      <c r="I7" s="584"/>
      <c r="J7" s="582"/>
      <c r="K7" s="585"/>
    </row>
    <row r="8" spans="1:11" ht="14" thickBot="1">
      <c r="A8" s="586"/>
      <c r="B8" s="587" t="s">
        <v>379</v>
      </c>
      <c r="C8" s="587" t="s">
        <v>380</v>
      </c>
      <c r="D8" s="582"/>
      <c r="E8" s="586"/>
      <c r="F8" s="587" t="s">
        <v>379</v>
      </c>
      <c r="G8" s="587" t="s">
        <v>380</v>
      </c>
      <c r="H8" s="583"/>
      <c r="I8" s="586"/>
      <c r="J8" s="587" t="s">
        <v>379</v>
      </c>
      <c r="K8" s="587" t="s">
        <v>380</v>
      </c>
    </row>
    <row r="9" spans="1:11">
      <c r="A9" s="588"/>
      <c r="B9" s="589"/>
      <c r="C9" s="590"/>
      <c r="D9" s="582"/>
      <c r="E9" s="588"/>
      <c r="F9" s="589"/>
      <c r="G9" s="590"/>
      <c r="H9" s="583"/>
      <c r="I9" s="588"/>
      <c r="J9" s="591"/>
      <c r="K9" s="592"/>
    </row>
    <row r="10" spans="1:11">
      <c r="A10" s="593">
        <f t="shared" ref="A10:A28" si="0">+EOMONTH(A9,3)</f>
        <v>121</v>
      </c>
      <c r="B10" s="589"/>
      <c r="C10" s="590"/>
      <c r="D10" s="582"/>
      <c r="E10" s="593">
        <f t="shared" ref="E10:E28" si="1">+EOMONTH(E9,3)</f>
        <v>121</v>
      </c>
      <c r="F10" s="589"/>
      <c r="G10" s="590"/>
      <c r="H10" s="583"/>
      <c r="I10" s="593">
        <f t="shared" ref="I10:I28" si="2">+EOMONTH(I9,3)</f>
        <v>121</v>
      </c>
      <c r="J10" s="591"/>
      <c r="K10" s="592"/>
    </row>
    <row r="11" spans="1:11">
      <c r="A11" s="593">
        <f t="shared" si="0"/>
        <v>213</v>
      </c>
      <c r="B11" s="589"/>
      <c r="C11" s="590"/>
      <c r="D11" s="582"/>
      <c r="E11" s="593">
        <f t="shared" si="1"/>
        <v>213</v>
      </c>
      <c r="F11" s="589"/>
      <c r="G11" s="590"/>
      <c r="H11" s="583"/>
      <c r="I11" s="593">
        <f t="shared" si="2"/>
        <v>213</v>
      </c>
      <c r="J11" s="591"/>
      <c r="K11" s="592"/>
    </row>
    <row r="12" spans="1:11">
      <c r="A12" s="593">
        <f t="shared" si="0"/>
        <v>305</v>
      </c>
      <c r="B12" s="589"/>
      <c r="C12" s="590"/>
      <c r="D12" s="582"/>
      <c r="E12" s="593">
        <f t="shared" si="1"/>
        <v>305</v>
      </c>
      <c r="F12" s="589"/>
      <c r="G12" s="590"/>
      <c r="H12" s="583"/>
      <c r="I12" s="593">
        <f t="shared" si="2"/>
        <v>305</v>
      </c>
      <c r="J12" s="591"/>
      <c r="K12" s="592"/>
    </row>
    <row r="13" spans="1:11">
      <c r="A13" s="593">
        <f t="shared" si="0"/>
        <v>397</v>
      </c>
      <c r="B13" s="589"/>
      <c r="C13" s="590"/>
      <c r="D13" s="582"/>
      <c r="E13" s="593">
        <f t="shared" si="1"/>
        <v>397</v>
      </c>
      <c r="F13" s="589"/>
      <c r="G13" s="590"/>
      <c r="H13" s="583"/>
      <c r="I13" s="593">
        <f t="shared" si="2"/>
        <v>397</v>
      </c>
      <c r="J13" s="591"/>
      <c r="K13" s="592"/>
    </row>
    <row r="14" spans="1:11">
      <c r="A14" s="593">
        <f t="shared" si="0"/>
        <v>486</v>
      </c>
      <c r="B14" s="589"/>
      <c r="C14" s="590"/>
      <c r="D14" s="582"/>
      <c r="E14" s="593">
        <f t="shared" si="1"/>
        <v>486</v>
      </c>
      <c r="F14" s="589"/>
      <c r="G14" s="590"/>
      <c r="H14" s="583"/>
      <c r="I14" s="593">
        <f t="shared" si="2"/>
        <v>486</v>
      </c>
      <c r="J14" s="591"/>
      <c r="K14" s="592"/>
    </row>
    <row r="15" spans="1:11">
      <c r="A15" s="593">
        <f t="shared" si="0"/>
        <v>578</v>
      </c>
      <c r="B15" s="589"/>
      <c r="C15" s="590"/>
      <c r="D15" s="582"/>
      <c r="E15" s="593">
        <f t="shared" si="1"/>
        <v>578</v>
      </c>
      <c r="F15" s="589"/>
      <c r="G15" s="590"/>
      <c r="H15" s="583"/>
      <c r="I15" s="593">
        <f t="shared" si="2"/>
        <v>578</v>
      </c>
      <c r="J15" s="591"/>
      <c r="K15" s="592"/>
    </row>
    <row r="16" spans="1:11">
      <c r="A16" s="593">
        <f t="shared" si="0"/>
        <v>670</v>
      </c>
      <c r="B16" s="589"/>
      <c r="C16" s="590"/>
      <c r="D16" s="582"/>
      <c r="E16" s="593">
        <f t="shared" si="1"/>
        <v>670</v>
      </c>
      <c r="F16" s="589"/>
      <c r="G16" s="590"/>
      <c r="H16" s="583"/>
      <c r="I16" s="593">
        <f t="shared" si="2"/>
        <v>670</v>
      </c>
      <c r="J16" s="591"/>
      <c r="K16" s="592"/>
    </row>
    <row r="17" spans="1:11">
      <c r="A17" s="593">
        <f t="shared" si="0"/>
        <v>762</v>
      </c>
      <c r="B17" s="589"/>
      <c r="C17" s="590"/>
      <c r="D17" s="582"/>
      <c r="E17" s="593">
        <f t="shared" si="1"/>
        <v>762</v>
      </c>
      <c r="F17" s="589"/>
      <c r="G17" s="590"/>
      <c r="H17" s="583"/>
      <c r="I17" s="593">
        <f t="shared" si="2"/>
        <v>762</v>
      </c>
      <c r="J17" s="591"/>
      <c r="K17" s="592"/>
    </row>
    <row r="18" spans="1:11">
      <c r="A18" s="593">
        <f t="shared" si="0"/>
        <v>851</v>
      </c>
      <c r="B18" s="589"/>
      <c r="C18" s="590"/>
      <c r="D18" s="582"/>
      <c r="E18" s="593">
        <f t="shared" si="1"/>
        <v>851</v>
      </c>
      <c r="F18" s="589"/>
      <c r="G18" s="590"/>
      <c r="H18" s="583"/>
      <c r="I18" s="593">
        <f t="shared" si="2"/>
        <v>851</v>
      </c>
      <c r="J18" s="591"/>
      <c r="K18" s="592"/>
    </row>
    <row r="19" spans="1:11">
      <c r="A19" s="593">
        <f t="shared" si="0"/>
        <v>943</v>
      </c>
      <c r="B19" s="589"/>
      <c r="C19" s="590"/>
      <c r="D19" s="582"/>
      <c r="E19" s="593">
        <f t="shared" si="1"/>
        <v>943</v>
      </c>
      <c r="F19" s="589"/>
      <c r="G19" s="590"/>
      <c r="H19" s="583"/>
      <c r="I19" s="593">
        <f t="shared" si="2"/>
        <v>943</v>
      </c>
      <c r="J19" s="591"/>
      <c r="K19" s="592"/>
    </row>
    <row r="20" spans="1:11">
      <c r="A20" s="593">
        <f t="shared" si="0"/>
        <v>1035</v>
      </c>
      <c r="B20" s="589"/>
      <c r="C20" s="590"/>
      <c r="D20" s="582"/>
      <c r="E20" s="593">
        <f t="shared" si="1"/>
        <v>1035</v>
      </c>
      <c r="F20" s="589"/>
      <c r="G20" s="590"/>
      <c r="H20" s="583"/>
      <c r="I20" s="593">
        <f t="shared" si="2"/>
        <v>1035</v>
      </c>
      <c r="J20" s="591"/>
      <c r="K20" s="592"/>
    </row>
    <row r="21" spans="1:11">
      <c r="A21" s="593">
        <f t="shared" si="0"/>
        <v>1127</v>
      </c>
      <c r="B21" s="589"/>
      <c r="C21" s="590"/>
      <c r="D21" s="582"/>
      <c r="E21" s="593">
        <f t="shared" si="1"/>
        <v>1127</v>
      </c>
      <c r="F21" s="589"/>
      <c r="G21" s="590"/>
      <c r="H21" s="583"/>
      <c r="I21" s="593">
        <f t="shared" si="2"/>
        <v>1127</v>
      </c>
      <c r="J21" s="591"/>
      <c r="K21" s="592"/>
    </row>
    <row r="22" spans="1:11">
      <c r="A22" s="593">
        <f t="shared" si="0"/>
        <v>1216</v>
      </c>
      <c r="B22" s="589"/>
      <c r="C22" s="590"/>
      <c r="D22" s="582"/>
      <c r="E22" s="593">
        <f t="shared" si="1"/>
        <v>1216</v>
      </c>
      <c r="F22" s="589"/>
      <c r="G22" s="590"/>
      <c r="H22" s="583"/>
      <c r="I22" s="593">
        <f t="shared" si="2"/>
        <v>1216</v>
      </c>
      <c r="J22" s="591"/>
      <c r="K22" s="592"/>
    </row>
    <row r="23" spans="1:11">
      <c r="A23" s="593">
        <f t="shared" si="0"/>
        <v>1308</v>
      </c>
      <c r="B23" s="589"/>
      <c r="C23" s="590"/>
      <c r="D23" s="582"/>
      <c r="E23" s="593">
        <f t="shared" si="1"/>
        <v>1308</v>
      </c>
      <c r="F23" s="589"/>
      <c r="G23" s="590"/>
      <c r="H23" s="583"/>
      <c r="I23" s="593">
        <f t="shared" si="2"/>
        <v>1308</v>
      </c>
      <c r="J23" s="591"/>
      <c r="K23" s="592"/>
    </row>
    <row r="24" spans="1:11">
      <c r="A24" s="593">
        <f t="shared" si="0"/>
        <v>1400</v>
      </c>
      <c r="B24" s="589"/>
      <c r="C24" s="590"/>
      <c r="D24" s="582"/>
      <c r="E24" s="593">
        <f t="shared" si="1"/>
        <v>1400</v>
      </c>
      <c r="F24" s="589"/>
      <c r="G24" s="590"/>
      <c r="H24" s="583"/>
      <c r="I24" s="593">
        <f t="shared" si="2"/>
        <v>1400</v>
      </c>
      <c r="J24" s="591"/>
      <c r="K24" s="592"/>
    </row>
    <row r="25" spans="1:11">
      <c r="A25" s="593">
        <f t="shared" si="0"/>
        <v>1492</v>
      </c>
      <c r="B25" s="589"/>
      <c r="C25" s="590"/>
      <c r="D25" s="582"/>
      <c r="E25" s="593">
        <f t="shared" si="1"/>
        <v>1492</v>
      </c>
      <c r="F25" s="589"/>
      <c r="G25" s="590"/>
      <c r="H25" s="583"/>
      <c r="I25" s="593">
        <f t="shared" si="2"/>
        <v>1492</v>
      </c>
      <c r="J25" s="591"/>
      <c r="K25" s="592"/>
    </row>
    <row r="26" spans="1:11">
      <c r="A26" s="593">
        <f t="shared" si="0"/>
        <v>1582</v>
      </c>
      <c r="B26" s="589"/>
      <c r="C26" s="590"/>
      <c r="D26" s="582"/>
      <c r="E26" s="593">
        <f t="shared" si="1"/>
        <v>1582</v>
      </c>
      <c r="F26" s="589"/>
      <c r="G26" s="590"/>
      <c r="H26" s="583"/>
      <c r="I26" s="593">
        <f t="shared" si="2"/>
        <v>1582</v>
      </c>
      <c r="J26" s="591"/>
      <c r="K26" s="592"/>
    </row>
    <row r="27" spans="1:11">
      <c r="A27" s="593">
        <f t="shared" si="0"/>
        <v>1674</v>
      </c>
      <c r="B27" s="589"/>
      <c r="C27" s="590"/>
      <c r="D27" s="582"/>
      <c r="E27" s="593">
        <f t="shared" si="1"/>
        <v>1674</v>
      </c>
      <c r="F27" s="589"/>
      <c r="G27" s="590"/>
      <c r="H27" s="583"/>
      <c r="I27" s="593">
        <f t="shared" si="2"/>
        <v>1674</v>
      </c>
      <c r="J27" s="591"/>
      <c r="K27" s="592"/>
    </row>
    <row r="28" spans="1:11" ht="14" thickBot="1">
      <c r="A28" s="594">
        <f t="shared" si="0"/>
        <v>1766</v>
      </c>
      <c r="B28" s="595"/>
      <c r="C28" s="596"/>
      <c r="D28" s="582"/>
      <c r="E28" s="594">
        <f t="shared" si="1"/>
        <v>1766</v>
      </c>
      <c r="F28" s="595"/>
      <c r="G28" s="596"/>
      <c r="H28" s="583"/>
      <c r="I28" s="594">
        <f t="shared" si="2"/>
        <v>1766</v>
      </c>
      <c r="J28" s="597"/>
      <c r="K28" s="598"/>
    </row>
    <row r="29" spans="1:11">
      <c r="A29" s="599"/>
      <c r="B29" s="600"/>
      <c r="C29" s="601"/>
      <c r="D29" s="582"/>
      <c r="E29" s="599"/>
      <c r="F29" s="600"/>
      <c r="G29" s="601"/>
      <c r="H29" s="583"/>
      <c r="I29" s="602"/>
      <c r="J29" s="600"/>
      <c r="K29" s="601"/>
    </row>
    <row r="31" spans="1:11">
      <c r="A31" s="599"/>
      <c r="B31" s="600"/>
      <c r="C31" s="601"/>
      <c r="D31" s="582"/>
      <c r="E31" s="599"/>
      <c r="F31" s="600"/>
      <c r="G31" s="601"/>
      <c r="H31" s="583"/>
      <c r="I31" s="599"/>
      <c r="J31" s="600"/>
      <c r="K31" s="601"/>
    </row>
    <row r="32" spans="1:11">
      <c r="A32" s="599"/>
      <c r="B32" s="600"/>
      <c r="C32" s="601"/>
      <c r="D32" s="582"/>
      <c r="E32" s="599"/>
      <c r="F32" s="600"/>
      <c r="G32" s="601"/>
      <c r="H32" s="583"/>
      <c r="I32" s="599"/>
      <c r="J32" s="600"/>
      <c r="K32" s="601"/>
    </row>
    <row r="33" spans="1:11">
      <c r="A33" s="599"/>
      <c r="B33" s="600"/>
      <c r="C33" s="601"/>
      <c r="D33" s="582"/>
      <c r="E33" s="599"/>
      <c r="F33" s="600"/>
      <c r="G33" s="601"/>
      <c r="H33" s="583"/>
      <c r="I33" s="599"/>
      <c r="J33" s="600"/>
      <c r="K33" s="601"/>
    </row>
    <row r="34" spans="1:11" ht="16">
      <c r="A34" s="603"/>
      <c r="B34" s="604"/>
      <c r="C34" s="604"/>
      <c r="D34" s="604"/>
      <c r="E34" s="604"/>
      <c r="F34" s="604"/>
      <c r="G34" s="604"/>
      <c r="H34" s="604"/>
      <c r="I34" s="604"/>
      <c r="J34" s="604"/>
      <c r="K34" s="604"/>
    </row>
    <row r="35" spans="1:11" ht="16">
      <c r="A35" s="603"/>
      <c r="B35" s="604"/>
      <c r="C35" s="604"/>
      <c r="D35" s="604"/>
      <c r="E35" s="604"/>
      <c r="F35" s="604"/>
      <c r="G35" s="604"/>
      <c r="H35" s="604"/>
      <c r="I35" s="604"/>
      <c r="J35" s="604"/>
      <c r="K35" s="604"/>
    </row>
    <row r="36" spans="1:11" ht="16">
      <c r="A36" s="603"/>
    </row>
    <row r="37" spans="1:11" ht="16">
      <c r="A37" s="603"/>
      <c r="B37" s="604"/>
      <c r="C37" s="604"/>
      <c r="D37" s="604"/>
      <c r="E37" s="604"/>
      <c r="F37" s="604"/>
      <c r="G37" s="604"/>
      <c r="H37" s="604"/>
      <c r="I37" s="604"/>
      <c r="J37" s="604"/>
      <c r="K37" s="604"/>
    </row>
    <row r="39" spans="1:11" ht="16">
      <c r="A39" s="603"/>
    </row>
    <row r="41" spans="1:11" ht="16">
      <c r="A41" s="603"/>
    </row>
    <row r="42" spans="1:11" ht="16">
      <c r="A42" s="603"/>
    </row>
    <row r="43" spans="1:11" ht="16">
      <c r="A43" s="603"/>
    </row>
    <row r="44" spans="1:11" ht="16">
      <c r="A44" s="603"/>
    </row>
    <row r="45" spans="1:11" ht="16">
      <c r="A45" s="603"/>
    </row>
    <row r="46" spans="1:11" ht="16">
      <c r="A46" s="603"/>
    </row>
    <row r="47" spans="1:11" ht="16">
      <c r="A47" s="603"/>
    </row>
    <row r="48" spans="1:11" ht="16">
      <c r="A48" s="603"/>
    </row>
    <row r="50" spans="1:1" ht="16">
      <c r="A50" s="603"/>
    </row>
    <row r="51" spans="1:1" ht="16">
      <c r="A51" s="603"/>
    </row>
    <row r="52" spans="1:1" ht="16">
      <c r="A52" s="603"/>
    </row>
    <row r="53" spans="1:1" ht="16">
      <c r="A53" s="603"/>
    </row>
    <row r="55" spans="1:1" ht="16">
      <c r="A55" s="603"/>
    </row>
    <row r="56" spans="1:1" ht="16">
      <c r="A56" s="603"/>
    </row>
    <row r="57" spans="1:1" ht="16">
      <c r="A57" s="603"/>
    </row>
    <row r="59" spans="1:1" ht="16">
      <c r="A59" s="603"/>
    </row>
    <row r="60" spans="1:1" ht="16">
      <c r="A60" s="603"/>
    </row>
    <row r="61" spans="1:1" ht="16">
      <c r="A61" s="603"/>
    </row>
    <row r="62" spans="1:1" ht="16">
      <c r="A62" s="603"/>
    </row>
    <row r="64" spans="1:1" ht="16">
      <c r="A64" s="603"/>
    </row>
    <row r="65" spans="1:1" ht="16">
      <c r="A65" s="603"/>
    </row>
    <row r="66" spans="1:1" ht="16">
      <c r="A66" s="603"/>
    </row>
    <row r="67" spans="1:1" ht="16">
      <c r="A67" s="603"/>
    </row>
    <row r="68" spans="1:1" ht="16">
      <c r="A68" s="603"/>
    </row>
    <row r="69" spans="1:1" ht="16">
      <c r="A69" s="603"/>
    </row>
    <row r="70" spans="1:1" ht="16">
      <c r="A70" s="603"/>
    </row>
    <row r="71" spans="1:1" ht="16">
      <c r="A71" s="603"/>
    </row>
    <row r="73" spans="1:1" ht="16">
      <c r="A73" s="603"/>
    </row>
    <row r="74" spans="1:1" ht="16">
      <c r="A74" s="603"/>
    </row>
    <row r="75" spans="1:1" ht="16">
      <c r="A75" s="603"/>
    </row>
    <row r="76" spans="1:1" ht="16">
      <c r="A76" s="603"/>
    </row>
    <row r="77" spans="1:1" ht="16">
      <c r="A77" s="603"/>
    </row>
    <row r="79" spans="1:1" ht="16">
      <c r="A79" s="603"/>
    </row>
    <row r="80" spans="1:1" ht="16">
      <c r="A80" s="603"/>
    </row>
    <row r="81" spans="1:1" ht="16">
      <c r="A81" s="603"/>
    </row>
    <row r="82" spans="1:1" ht="16">
      <c r="A82" s="603"/>
    </row>
    <row r="83" spans="1:1" ht="16">
      <c r="A83" s="603"/>
    </row>
    <row r="84" spans="1:1" ht="16">
      <c r="A84" s="603"/>
    </row>
    <row r="85" spans="1:1" ht="16">
      <c r="A85" s="603"/>
    </row>
    <row r="87" spans="1:1" ht="16">
      <c r="A87" s="603"/>
    </row>
    <row r="88" spans="1:1" ht="16">
      <c r="A88" s="603"/>
    </row>
    <row r="89" spans="1:1" ht="16">
      <c r="A89" s="603"/>
    </row>
    <row r="90" spans="1:1" ht="16">
      <c r="A90" s="603"/>
    </row>
    <row r="91" spans="1:1" ht="16">
      <c r="A91" s="603"/>
    </row>
    <row r="92" spans="1:1" ht="16">
      <c r="A92" s="603"/>
    </row>
    <row r="93" spans="1:1" ht="16">
      <c r="A93" s="603"/>
    </row>
    <row r="95" spans="1:1" ht="16">
      <c r="A95" s="603"/>
    </row>
    <row r="96" spans="1:1" ht="16">
      <c r="A96" s="603"/>
    </row>
    <row r="97" spans="1:1" ht="16">
      <c r="A97" s="603"/>
    </row>
    <row r="99" spans="1:1" ht="16">
      <c r="A99" s="603"/>
    </row>
    <row r="100" spans="1:1" ht="16">
      <c r="A100" s="603"/>
    </row>
    <row r="101" spans="1:1" ht="16">
      <c r="A101" s="603"/>
    </row>
    <row r="102" spans="1:1" ht="16">
      <c r="A102" s="603"/>
    </row>
    <row r="103" spans="1:1" ht="16">
      <c r="A103" s="603"/>
    </row>
    <row r="104" spans="1:1" ht="16">
      <c r="A104" s="603"/>
    </row>
    <row r="105" spans="1:1" ht="16">
      <c r="A105" s="603"/>
    </row>
    <row r="106" spans="1:1" ht="16">
      <c r="A106" s="603"/>
    </row>
    <row r="107" spans="1:1" ht="16">
      <c r="A107" s="603"/>
    </row>
    <row r="109" spans="1:1" ht="16">
      <c r="A109" s="603"/>
    </row>
    <row r="110" spans="1:1" ht="16">
      <c r="A110" s="603"/>
    </row>
    <row r="111" spans="1:1" ht="16">
      <c r="A111" s="603"/>
    </row>
    <row r="112" spans="1:1" ht="16">
      <c r="A112" s="603"/>
    </row>
    <row r="113" spans="1:1" ht="16">
      <c r="A113" s="603"/>
    </row>
    <row r="114" spans="1:1" ht="16">
      <c r="A114" s="603"/>
    </row>
    <row r="115" spans="1:1" ht="16">
      <c r="A115" s="603"/>
    </row>
    <row r="116" spans="1:1" ht="16">
      <c r="A116" s="603"/>
    </row>
    <row r="117" spans="1:1" ht="16">
      <c r="A117" s="603"/>
    </row>
    <row r="118" spans="1:1" ht="16">
      <c r="A118" s="603"/>
    </row>
    <row r="119" spans="1:1" ht="16">
      <c r="A119" s="603"/>
    </row>
    <row r="120" spans="1:1" ht="16">
      <c r="A120" s="603"/>
    </row>
    <row r="121" spans="1:1" ht="16">
      <c r="A121" s="603"/>
    </row>
    <row r="122" spans="1:1" ht="16">
      <c r="A122" s="603"/>
    </row>
    <row r="124" spans="1:1" ht="16">
      <c r="A124" s="603"/>
    </row>
    <row r="125" spans="1:1" ht="16">
      <c r="A125" s="603"/>
    </row>
    <row r="126" spans="1:1" ht="16">
      <c r="A126" s="603"/>
    </row>
    <row r="127" spans="1:1" ht="16">
      <c r="A127" s="603"/>
    </row>
    <row r="129" spans="1:1" ht="16">
      <c r="A129" s="603"/>
    </row>
    <row r="130" spans="1:1" ht="16">
      <c r="A130" s="603"/>
    </row>
    <row r="131" spans="1:1" ht="16">
      <c r="A131" s="603"/>
    </row>
  </sheetData>
  <pageMargins left="0.25" right="0.25" top="0.75" bottom="0.75" header="0.3" footer="0.3"/>
  <pageSetup scale="27"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3FC1-D5C1-4006-8FA3-978021BB5024}">
  <sheetPr>
    <pageSetUpPr fitToPage="1"/>
  </sheetPr>
  <dimension ref="A1:M40"/>
  <sheetViews>
    <sheetView zoomScale="75" workbookViewId="0">
      <selection activeCell="Q23" sqref="Q23"/>
    </sheetView>
  </sheetViews>
  <sheetFormatPr baseColWidth="10" defaultColWidth="9.3984375" defaultRowHeight="13"/>
  <cols>
    <col min="1" max="1" width="9.3984375" style="20"/>
    <col min="2" max="2" width="28.796875" style="20" customWidth="1"/>
    <col min="3" max="3" width="11.59765625" style="20" bestFit="1" customWidth="1"/>
    <col min="4" max="13" width="10.3984375" style="20" bestFit="1" customWidth="1"/>
    <col min="14" max="16384" width="9.3984375" style="20"/>
  </cols>
  <sheetData>
    <row r="1" spans="1:13" ht="20">
      <c r="A1" s="35" t="str">
        <f>+'Summary Pg'!B1</f>
        <v>Name of Company</v>
      </c>
    </row>
    <row r="2" spans="1:13">
      <c r="A2" s="21" t="s">
        <v>381</v>
      </c>
    </row>
    <row r="4" spans="1:13" ht="14" thickBot="1"/>
    <row r="5" spans="1:13" ht="14" thickBot="1">
      <c r="A5" s="307"/>
      <c r="B5" s="307"/>
      <c r="C5" s="308">
        <v>2006</v>
      </c>
      <c r="D5" s="307">
        <f>C5+1</f>
        <v>2007</v>
      </c>
      <c r="E5" s="307">
        <f t="shared" ref="E5:M5" si="0">D5+1</f>
        <v>2008</v>
      </c>
      <c r="F5" s="307">
        <f t="shared" si="0"/>
        <v>2009</v>
      </c>
      <c r="G5" s="307">
        <f t="shared" si="0"/>
        <v>2010</v>
      </c>
      <c r="H5" s="307">
        <f t="shared" si="0"/>
        <v>2011</v>
      </c>
      <c r="I5" s="307">
        <f t="shared" si="0"/>
        <v>2012</v>
      </c>
      <c r="J5" s="307">
        <f t="shared" si="0"/>
        <v>2013</v>
      </c>
      <c r="K5" s="307">
        <f t="shared" si="0"/>
        <v>2014</v>
      </c>
      <c r="L5" s="307">
        <f t="shared" si="0"/>
        <v>2015</v>
      </c>
      <c r="M5" s="307">
        <f t="shared" si="0"/>
        <v>2016</v>
      </c>
    </row>
    <row r="6" spans="1:13">
      <c r="A6" s="45" t="s">
        <v>382</v>
      </c>
      <c r="B6" s="45"/>
      <c r="C6" s="309"/>
      <c r="D6" s="309"/>
      <c r="E6" s="309"/>
      <c r="F6" s="309"/>
      <c r="G6" s="309"/>
      <c r="H6" s="309"/>
      <c r="I6" s="309"/>
      <c r="J6" s="309"/>
      <c r="K6" s="309"/>
      <c r="L6" s="309"/>
      <c r="M6" s="309"/>
    </row>
    <row r="7" spans="1:13">
      <c r="A7" s="45" t="s">
        <v>383</v>
      </c>
      <c r="B7" s="45"/>
      <c r="C7" s="309"/>
      <c r="D7" s="309"/>
      <c r="E7" s="309"/>
      <c r="F7" s="309"/>
      <c r="G7" s="309"/>
      <c r="H7" s="309"/>
      <c r="I7" s="309"/>
      <c r="J7" s="309"/>
      <c r="K7" s="309"/>
      <c r="L7" s="309"/>
      <c r="M7" s="309"/>
    </row>
    <row r="8" spans="1:13">
      <c r="A8" s="105" t="s">
        <v>384</v>
      </c>
      <c r="B8" s="105"/>
      <c r="C8" s="310">
        <f>C7+C6</f>
        <v>0</v>
      </c>
      <c r="D8" s="310"/>
      <c r="E8" s="310"/>
      <c r="F8" s="310"/>
      <c r="G8" s="310"/>
      <c r="H8" s="310"/>
      <c r="I8" s="310"/>
      <c r="J8" s="310"/>
      <c r="K8" s="310"/>
      <c r="L8" s="310"/>
      <c r="M8" s="310"/>
    </row>
    <row r="9" spans="1:13">
      <c r="A9" s="105" t="s">
        <v>385</v>
      </c>
      <c r="B9" s="105"/>
      <c r="C9" s="310"/>
      <c r="D9" s="310"/>
      <c r="E9" s="310"/>
      <c r="F9" s="310"/>
      <c r="G9" s="310"/>
      <c r="H9" s="310"/>
      <c r="I9" s="310"/>
      <c r="J9" s="310"/>
      <c r="K9" s="310"/>
      <c r="L9" s="310"/>
      <c r="M9" s="310"/>
    </row>
    <row r="10" spans="1:13">
      <c r="A10" s="311" t="s">
        <v>386</v>
      </c>
      <c r="B10" s="45"/>
      <c r="C10" s="126"/>
      <c r="D10" s="126" t="e">
        <f t="shared" ref="D10:I10" si="1">D9/C9-1</f>
        <v>#DIV/0!</v>
      </c>
      <c r="E10" s="126" t="e">
        <f t="shared" si="1"/>
        <v>#DIV/0!</v>
      </c>
      <c r="F10" s="126" t="e">
        <f t="shared" si="1"/>
        <v>#DIV/0!</v>
      </c>
      <c r="G10" s="126" t="e">
        <f t="shared" si="1"/>
        <v>#DIV/0!</v>
      </c>
      <c r="H10" s="126" t="e">
        <f t="shared" si="1"/>
        <v>#DIV/0!</v>
      </c>
      <c r="I10" s="126" t="e">
        <f t="shared" si="1"/>
        <v>#DIV/0!</v>
      </c>
      <c r="J10" s="125"/>
      <c r="K10" s="125"/>
      <c r="L10" s="125"/>
      <c r="M10" s="125"/>
    </row>
    <row r="11" spans="1:13">
      <c r="A11" s="105" t="s">
        <v>140</v>
      </c>
      <c r="B11" s="105"/>
      <c r="C11" s="310"/>
      <c r="D11" s="310"/>
      <c r="E11" s="310"/>
      <c r="F11" s="310"/>
      <c r="G11" s="310"/>
      <c r="H11" s="310"/>
      <c r="I11" s="310"/>
      <c r="J11" s="310"/>
      <c r="K11" s="310"/>
      <c r="L11" s="310"/>
      <c r="M11" s="310"/>
    </row>
    <row r="12" spans="1:13">
      <c r="A12" s="45" t="s">
        <v>387</v>
      </c>
      <c r="B12" s="45"/>
      <c r="C12" s="126" t="e">
        <f>C11/C9</f>
        <v>#DIV/0!</v>
      </c>
      <c r="D12" s="126" t="e">
        <f t="shared" ref="D12:I12" si="2">D11/D9</f>
        <v>#DIV/0!</v>
      </c>
      <c r="E12" s="126" t="e">
        <f t="shared" si="2"/>
        <v>#DIV/0!</v>
      </c>
      <c r="F12" s="126" t="e">
        <f t="shared" si="2"/>
        <v>#DIV/0!</v>
      </c>
      <c r="G12" s="126" t="e">
        <f t="shared" si="2"/>
        <v>#DIV/0!</v>
      </c>
      <c r="H12" s="126" t="e">
        <f t="shared" si="2"/>
        <v>#DIV/0!</v>
      </c>
      <c r="I12" s="126" t="e">
        <f t="shared" si="2"/>
        <v>#DIV/0!</v>
      </c>
      <c r="J12" s="125"/>
      <c r="K12" s="125"/>
      <c r="L12" s="125"/>
      <c r="M12" s="125"/>
    </row>
    <row r="13" spans="1:13">
      <c r="A13" s="45" t="s">
        <v>388</v>
      </c>
      <c r="B13" s="45"/>
      <c r="C13" s="309"/>
      <c r="D13" s="309"/>
      <c r="E13" s="309"/>
      <c r="F13" s="309"/>
      <c r="G13" s="309"/>
      <c r="H13" s="309"/>
      <c r="I13" s="309"/>
      <c r="J13" s="309"/>
      <c r="K13" s="309"/>
      <c r="L13" s="309"/>
      <c r="M13" s="309"/>
    </row>
    <row r="14" spans="1:13">
      <c r="A14" s="45" t="s">
        <v>314</v>
      </c>
      <c r="B14" s="45"/>
      <c r="C14" s="309"/>
      <c r="D14" s="309"/>
      <c r="E14" s="309"/>
      <c r="F14" s="309"/>
      <c r="G14" s="309"/>
      <c r="H14" s="309"/>
      <c r="I14" s="309"/>
      <c r="J14" s="309"/>
      <c r="K14" s="309"/>
      <c r="L14" s="309"/>
      <c r="M14" s="309"/>
    </row>
    <row r="15" spans="1:13">
      <c r="A15" s="105" t="s">
        <v>148</v>
      </c>
      <c r="B15" s="105"/>
      <c r="C15" s="310">
        <f>C11-C13-C14</f>
        <v>0</v>
      </c>
      <c r="D15" s="310">
        <f t="shared" ref="D15:M15" si="3">D11-D13-D14</f>
        <v>0</v>
      </c>
      <c r="E15" s="310">
        <f t="shared" si="3"/>
        <v>0</v>
      </c>
      <c r="F15" s="310">
        <f t="shared" si="3"/>
        <v>0</v>
      </c>
      <c r="G15" s="310">
        <f t="shared" si="3"/>
        <v>0</v>
      </c>
      <c r="H15" s="310">
        <f t="shared" si="3"/>
        <v>0</v>
      </c>
      <c r="I15" s="310">
        <f t="shared" si="3"/>
        <v>0</v>
      </c>
      <c r="J15" s="310">
        <f t="shared" si="3"/>
        <v>0</v>
      </c>
      <c r="K15" s="310">
        <f t="shared" si="3"/>
        <v>0</v>
      </c>
      <c r="L15" s="310">
        <f t="shared" si="3"/>
        <v>0</v>
      </c>
      <c r="M15" s="310">
        <f t="shared" si="3"/>
        <v>0</v>
      </c>
    </row>
    <row r="16" spans="1:13">
      <c r="A16" s="45"/>
      <c r="B16" s="45"/>
      <c r="C16" s="312"/>
      <c r="D16" s="309"/>
      <c r="E16" s="309"/>
      <c r="F16" s="309"/>
      <c r="G16" s="309"/>
      <c r="H16" s="309"/>
      <c r="I16" s="309"/>
      <c r="J16" s="309"/>
      <c r="K16" s="309"/>
      <c r="L16" s="309"/>
      <c r="M16" s="309"/>
    </row>
    <row r="17" spans="1:13">
      <c r="A17" s="105" t="s">
        <v>389</v>
      </c>
      <c r="B17" s="45"/>
      <c r="C17" s="313" t="e">
        <f>C11/C13</f>
        <v>#DIV/0!</v>
      </c>
      <c r="D17" s="313" t="e">
        <f t="shared" ref="D17:M17" si="4">D11/D13</f>
        <v>#DIV/0!</v>
      </c>
      <c r="E17" s="313" t="e">
        <f t="shared" si="4"/>
        <v>#DIV/0!</v>
      </c>
      <c r="F17" s="313" t="e">
        <f t="shared" si="4"/>
        <v>#DIV/0!</v>
      </c>
      <c r="G17" s="313" t="e">
        <f t="shared" si="4"/>
        <v>#DIV/0!</v>
      </c>
      <c r="H17" s="313" t="e">
        <f t="shared" si="4"/>
        <v>#DIV/0!</v>
      </c>
      <c r="I17" s="313" t="e">
        <f t="shared" si="4"/>
        <v>#DIV/0!</v>
      </c>
      <c r="J17" s="313" t="e">
        <f t="shared" si="4"/>
        <v>#DIV/0!</v>
      </c>
      <c r="K17" s="313" t="e">
        <f t="shared" si="4"/>
        <v>#DIV/0!</v>
      </c>
      <c r="L17" s="313" t="e">
        <f t="shared" si="4"/>
        <v>#DIV/0!</v>
      </c>
      <c r="M17" s="313" t="e">
        <f t="shared" si="4"/>
        <v>#DIV/0!</v>
      </c>
    </row>
    <row r="18" spans="1:13">
      <c r="A18" s="105" t="s">
        <v>156</v>
      </c>
      <c r="B18" s="45"/>
      <c r="C18" s="313" t="e">
        <f>C8/C11</f>
        <v>#DIV/0!</v>
      </c>
      <c r="D18" s="313" t="e">
        <f>$D$4/D11</f>
        <v>#DIV/0!</v>
      </c>
      <c r="E18" s="313" t="e">
        <f t="shared" ref="E18:M18" si="5">$D$4/E11</f>
        <v>#DIV/0!</v>
      </c>
      <c r="F18" s="313" t="e">
        <f t="shared" si="5"/>
        <v>#DIV/0!</v>
      </c>
      <c r="G18" s="313" t="e">
        <f t="shared" si="5"/>
        <v>#DIV/0!</v>
      </c>
      <c r="H18" s="313" t="e">
        <f t="shared" si="5"/>
        <v>#DIV/0!</v>
      </c>
      <c r="I18" s="313" t="e">
        <f t="shared" si="5"/>
        <v>#DIV/0!</v>
      </c>
      <c r="J18" s="313" t="e">
        <f t="shared" si="5"/>
        <v>#DIV/0!</v>
      </c>
      <c r="K18" s="313" t="e">
        <f t="shared" si="5"/>
        <v>#DIV/0!</v>
      </c>
      <c r="L18" s="313" t="e">
        <f t="shared" si="5"/>
        <v>#DIV/0!</v>
      </c>
      <c r="M18" s="313" t="e">
        <f t="shared" si="5"/>
        <v>#DIV/0!</v>
      </c>
    </row>
    <row r="19" spans="1:13">
      <c r="A19" s="105"/>
      <c r="B19" s="45"/>
      <c r="C19" s="313"/>
      <c r="D19" s="313"/>
      <c r="E19" s="313"/>
      <c r="F19" s="313"/>
      <c r="G19" s="313"/>
      <c r="H19" s="313"/>
      <c r="I19" s="313"/>
      <c r="J19" s="313"/>
      <c r="K19" s="313"/>
      <c r="L19" s="313"/>
      <c r="M19" s="313"/>
    </row>
    <row r="20" spans="1:13" ht="14" thickBot="1">
      <c r="A20" s="314" t="s">
        <v>390</v>
      </c>
      <c r="B20" s="106"/>
      <c r="C20" s="106"/>
      <c r="D20" s="106"/>
      <c r="E20" s="106"/>
      <c r="F20" s="106"/>
      <c r="G20" s="106"/>
      <c r="H20" s="106"/>
      <c r="I20" s="106"/>
      <c r="J20" s="106"/>
      <c r="K20" s="106"/>
      <c r="L20" s="106"/>
      <c r="M20" s="106"/>
    </row>
    <row r="21" spans="1:13">
      <c r="A21" s="315"/>
      <c r="B21" s="307"/>
      <c r="C21" s="307">
        <f>C5</f>
        <v>2006</v>
      </c>
      <c r="D21" s="307">
        <f>C21+1</f>
        <v>2007</v>
      </c>
      <c r="E21" s="307">
        <f t="shared" ref="E21:M21" si="6">D21+1</f>
        <v>2008</v>
      </c>
      <c r="F21" s="307">
        <f t="shared" si="6"/>
        <v>2009</v>
      </c>
      <c r="G21" s="307">
        <f t="shared" si="6"/>
        <v>2010</v>
      </c>
      <c r="H21" s="307">
        <f t="shared" si="6"/>
        <v>2011</v>
      </c>
      <c r="I21" s="307">
        <f t="shared" si="6"/>
        <v>2012</v>
      </c>
      <c r="J21" s="307">
        <f t="shared" si="6"/>
        <v>2013</v>
      </c>
      <c r="K21" s="307">
        <f t="shared" si="6"/>
        <v>2014</v>
      </c>
      <c r="L21" s="307">
        <f t="shared" si="6"/>
        <v>2015</v>
      </c>
      <c r="M21" s="307">
        <f t="shared" si="6"/>
        <v>2016</v>
      </c>
    </row>
    <row r="22" spans="1:13" ht="14" thickBot="1">
      <c r="A22" s="316" t="s">
        <v>391</v>
      </c>
      <c r="B22" s="45"/>
      <c r="C22" s="45"/>
      <c r="D22" s="45"/>
      <c r="E22" s="45"/>
      <c r="F22" s="45"/>
      <c r="G22" s="45"/>
      <c r="H22" s="45"/>
      <c r="I22" s="45"/>
      <c r="J22" s="45"/>
      <c r="K22" s="45"/>
      <c r="L22" s="45"/>
      <c r="M22" s="45"/>
    </row>
    <row r="23" spans="1:13" ht="14" thickBot="1">
      <c r="A23" s="105" t="s">
        <v>392</v>
      </c>
      <c r="B23" s="45"/>
      <c r="C23" s="317">
        <v>0.1</v>
      </c>
      <c r="D23" s="45"/>
      <c r="E23" s="45"/>
      <c r="F23" s="45"/>
      <c r="G23" s="45"/>
      <c r="H23" s="45"/>
      <c r="I23" s="45"/>
      <c r="J23" s="45"/>
      <c r="K23" s="45"/>
      <c r="L23" s="45"/>
      <c r="M23" s="45"/>
    </row>
    <row r="24" spans="1:13" ht="14" thickBot="1">
      <c r="A24" s="105" t="s">
        <v>393</v>
      </c>
      <c r="B24" s="45"/>
      <c r="C24" s="317">
        <v>0.05</v>
      </c>
      <c r="D24" s="45"/>
      <c r="E24" s="45"/>
      <c r="F24" s="45"/>
      <c r="G24" s="45"/>
      <c r="H24" s="45"/>
      <c r="I24" s="45"/>
      <c r="J24" s="45"/>
      <c r="K24" s="45"/>
      <c r="L24" s="45"/>
      <c r="M24" s="45"/>
    </row>
    <row r="25" spans="1:13">
      <c r="A25" s="316"/>
      <c r="B25" s="45"/>
      <c r="C25" s="45"/>
      <c r="D25" s="45"/>
      <c r="E25" s="45"/>
      <c r="F25" s="45"/>
      <c r="G25" s="45"/>
      <c r="H25" s="45"/>
      <c r="I25" s="45"/>
      <c r="J25" s="45"/>
      <c r="K25" s="45"/>
      <c r="L25" s="45"/>
      <c r="M25" s="45"/>
    </row>
    <row r="26" spans="1:13">
      <c r="A26" s="45" t="s">
        <v>140</v>
      </c>
      <c r="B26" s="45"/>
      <c r="C26" s="312">
        <f>C11</f>
        <v>0</v>
      </c>
      <c r="D26" s="312">
        <f t="shared" ref="D26:M26" si="7">D11</f>
        <v>0</v>
      </c>
      <c r="E26" s="312">
        <f t="shared" si="7"/>
        <v>0</v>
      </c>
      <c r="F26" s="312">
        <f t="shared" si="7"/>
        <v>0</v>
      </c>
      <c r="G26" s="312">
        <f t="shared" si="7"/>
        <v>0</v>
      </c>
      <c r="H26" s="312">
        <f t="shared" si="7"/>
        <v>0</v>
      </c>
      <c r="I26" s="312">
        <f t="shared" si="7"/>
        <v>0</v>
      </c>
      <c r="J26" s="312">
        <f t="shared" si="7"/>
        <v>0</v>
      </c>
      <c r="K26" s="312">
        <f t="shared" si="7"/>
        <v>0</v>
      </c>
      <c r="L26" s="312">
        <f t="shared" si="7"/>
        <v>0</v>
      </c>
      <c r="M26" s="312">
        <f t="shared" si="7"/>
        <v>0</v>
      </c>
    </row>
    <row r="27" spans="1:13">
      <c r="A27" s="45" t="s">
        <v>394</v>
      </c>
      <c r="B27" s="45"/>
      <c r="C27" s="312">
        <f>C14</f>
        <v>0</v>
      </c>
      <c r="D27" s="312">
        <f t="shared" ref="D27:M27" si="8">D14</f>
        <v>0</v>
      </c>
      <c r="E27" s="312">
        <f t="shared" si="8"/>
        <v>0</v>
      </c>
      <c r="F27" s="312">
        <f t="shared" si="8"/>
        <v>0</v>
      </c>
      <c r="G27" s="312">
        <f t="shared" si="8"/>
        <v>0</v>
      </c>
      <c r="H27" s="312">
        <f t="shared" si="8"/>
        <v>0</v>
      </c>
      <c r="I27" s="312">
        <f t="shared" si="8"/>
        <v>0</v>
      </c>
      <c r="J27" s="312">
        <f t="shared" si="8"/>
        <v>0</v>
      </c>
      <c r="K27" s="312">
        <f t="shared" si="8"/>
        <v>0</v>
      </c>
      <c r="L27" s="312">
        <f t="shared" si="8"/>
        <v>0</v>
      </c>
      <c r="M27" s="312">
        <f t="shared" si="8"/>
        <v>0</v>
      </c>
    </row>
    <row r="28" spans="1:13">
      <c r="A28" s="105" t="s">
        <v>395</v>
      </c>
      <c r="B28" s="105"/>
      <c r="C28" s="318">
        <f>C26-C27</f>
        <v>0</v>
      </c>
      <c r="D28" s="318">
        <f t="shared" ref="D28:M28" si="9">D26-D27</f>
        <v>0</v>
      </c>
      <c r="E28" s="318">
        <f t="shared" si="9"/>
        <v>0</v>
      </c>
      <c r="F28" s="318">
        <f t="shared" si="9"/>
        <v>0</v>
      </c>
      <c r="G28" s="318">
        <f t="shared" si="9"/>
        <v>0</v>
      </c>
      <c r="H28" s="318">
        <f t="shared" si="9"/>
        <v>0</v>
      </c>
      <c r="I28" s="318">
        <f t="shared" si="9"/>
        <v>0</v>
      </c>
      <c r="J28" s="318">
        <f t="shared" si="9"/>
        <v>0</v>
      </c>
      <c r="K28" s="318">
        <f t="shared" si="9"/>
        <v>0</v>
      </c>
      <c r="L28" s="318">
        <f t="shared" si="9"/>
        <v>0</v>
      </c>
      <c r="M28" s="318">
        <f t="shared" si="9"/>
        <v>0</v>
      </c>
    </row>
    <row r="29" spans="1:13">
      <c r="A29" s="45" t="s">
        <v>396</v>
      </c>
      <c r="B29" s="45"/>
      <c r="C29" s="319"/>
      <c r="D29" s="319"/>
      <c r="E29" s="319"/>
      <c r="F29" s="319"/>
      <c r="G29" s="319"/>
      <c r="H29" s="319"/>
      <c r="I29" s="319"/>
      <c r="J29" s="319"/>
      <c r="K29" s="319"/>
      <c r="L29" s="319"/>
      <c r="M29" s="319">
        <f>(M28*(1+C24))/(C23-C24)</f>
        <v>0</v>
      </c>
    </row>
    <row r="30" spans="1:13">
      <c r="A30" s="105" t="s">
        <v>397</v>
      </c>
      <c r="B30" s="45"/>
      <c r="C30" s="312">
        <f>C28+C29</f>
        <v>0</v>
      </c>
      <c r="D30" s="312">
        <f t="shared" ref="D30:M30" si="10">D28+D29</f>
        <v>0</v>
      </c>
      <c r="E30" s="312">
        <f t="shared" si="10"/>
        <v>0</v>
      </c>
      <c r="F30" s="312">
        <f t="shared" si="10"/>
        <v>0</v>
      </c>
      <c r="G30" s="312">
        <f t="shared" si="10"/>
        <v>0</v>
      </c>
      <c r="H30" s="312">
        <f t="shared" si="10"/>
        <v>0</v>
      </c>
      <c r="I30" s="312">
        <f t="shared" si="10"/>
        <v>0</v>
      </c>
      <c r="J30" s="312">
        <f t="shared" si="10"/>
        <v>0</v>
      </c>
      <c r="K30" s="312">
        <f t="shared" si="10"/>
        <v>0</v>
      </c>
      <c r="L30" s="312">
        <f t="shared" si="10"/>
        <v>0</v>
      </c>
      <c r="M30" s="312">
        <f t="shared" si="10"/>
        <v>0</v>
      </c>
    </row>
    <row r="31" spans="1:13" ht="14" thickBot="1">
      <c r="A31" s="105"/>
      <c r="B31" s="45"/>
      <c r="C31" s="320"/>
      <c r="D31" s="320"/>
      <c r="E31" s="320"/>
      <c r="F31" s="320"/>
      <c r="G31" s="320"/>
      <c r="H31" s="320"/>
      <c r="I31" s="320"/>
      <c r="J31" s="320"/>
      <c r="K31" s="320"/>
      <c r="L31" s="321"/>
      <c r="M31" s="321"/>
    </row>
    <row r="32" spans="1:13" ht="14" thickBot="1">
      <c r="A32" s="105" t="s">
        <v>390</v>
      </c>
      <c r="B32" s="45"/>
      <c r="C32" s="322">
        <f>NPV(C23,C30:M30)</f>
        <v>0</v>
      </c>
      <c r="D32" s="320"/>
      <c r="E32" s="320"/>
      <c r="F32" s="320"/>
      <c r="G32" s="320"/>
      <c r="H32" s="320"/>
      <c r="I32" s="320"/>
      <c r="J32" s="320"/>
      <c r="K32" s="320"/>
      <c r="L32" s="321"/>
      <c r="M32" s="321"/>
    </row>
    <row r="33" spans="1:13" ht="14" thickBot="1">
      <c r="A33" s="105" t="s">
        <v>398</v>
      </c>
      <c r="B33" s="45"/>
      <c r="C33" s="323"/>
      <c r="D33" s="320"/>
      <c r="E33" s="320" t="s">
        <v>391</v>
      </c>
      <c r="F33" s="320" t="s">
        <v>391</v>
      </c>
      <c r="G33" s="320"/>
      <c r="H33" s="320"/>
      <c r="I33" s="320"/>
      <c r="J33" s="320"/>
      <c r="K33" s="320"/>
      <c r="L33" s="321"/>
      <c r="M33" s="321"/>
    </row>
    <row r="34" spans="1:13" ht="14" thickBot="1">
      <c r="A34" s="105" t="s">
        <v>399</v>
      </c>
      <c r="B34" s="45"/>
      <c r="C34" s="324">
        <f>C32-C33-C8</f>
        <v>0</v>
      </c>
      <c r="D34" s="320"/>
      <c r="E34" s="320"/>
      <c r="F34" s="320"/>
      <c r="G34" s="320"/>
      <c r="H34" s="320"/>
      <c r="I34" s="320"/>
      <c r="J34" s="320"/>
      <c r="K34" s="320"/>
      <c r="L34" s="321"/>
      <c r="M34" s="321"/>
    </row>
    <row r="35" spans="1:13" ht="14" thickBot="1">
      <c r="A35" s="105" t="s">
        <v>400</v>
      </c>
      <c r="B35" s="45"/>
      <c r="C35" s="323"/>
      <c r="D35" s="320"/>
      <c r="E35" s="320"/>
      <c r="F35" s="320"/>
      <c r="G35" s="320"/>
      <c r="H35" s="320"/>
      <c r="I35" s="320"/>
      <c r="J35" s="320"/>
      <c r="K35" s="320"/>
      <c r="L35" s="321"/>
      <c r="M35" s="321"/>
    </row>
    <row r="36" spans="1:13" ht="14" thickBot="1">
      <c r="A36" s="105" t="s">
        <v>401</v>
      </c>
      <c r="B36" s="45"/>
      <c r="C36" s="331" t="e">
        <f>(C32-C8-C33)/C35</f>
        <v>#DIV/0!</v>
      </c>
      <c r="D36" s="117"/>
      <c r="E36" s="45"/>
      <c r="F36" s="45"/>
      <c r="G36" s="45"/>
      <c r="H36" s="45"/>
      <c r="I36" s="45"/>
      <c r="J36" s="45"/>
      <c r="K36" s="45"/>
      <c r="L36" s="325"/>
      <c r="M36" s="326"/>
    </row>
    <row r="37" spans="1:13">
      <c r="A37" s="105"/>
      <c r="B37" s="45"/>
      <c r="C37" s="327"/>
      <c r="D37" s="327"/>
      <c r="E37" s="327"/>
      <c r="F37" s="327"/>
      <c r="G37" s="327"/>
      <c r="H37" s="327"/>
      <c r="I37" s="327"/>
      <c r="J37" s="327"/>
      <c r="K37" s="327"/>
      <c r="L37" s="327"/>
      <c r="M37" s="327"/>
    </row>
    <row r="38" spans="1:13">
      <c r="A38" s="119"/>
      <c r="B38" s="45"/>
      <c r="C38" s="320"/>
      <c r="D38" s="328"/>
      <c r="E38" s="45"/>
      <c r="F38" s="45"/>
      <c r="G38" s="45"/>
      <c r="H38" s="45"/>
      <c r="I38" s="45"/>
      <c r="J38" s="45"/>
      <c r="K38" s="45"/>
      <c r="L38" s="329"/>
      <c r="M38" s="320"/>
    </row>
    <row r="39" spans="1:13">
      <c r="A39" s="330"/>
      <c r="B39" s="45"/>
      <c r="C39" s="325"/>
      <c r="D39" s="45"/>
      <c r="E39" s="45"/>
      <c r="F39" s="45"/>
      <c r="G39" s="45"/>
      <c r="H39" s="45"/>
      <c r="I39" s="45"/>
      <c r="J39" s="45"/>
      <c r="K39" s="45"/>
      <c r="L39" s="329"/>
      <c r="M39" s="320"/>
    </row>
    <row r="40" spans="1:13">
      <c r="A40" s="330"/>
      <c r="B40" s="45"/>
      <c r="C40" s="318"/>
      <c r="D40" s="45"/>
      <c r="E40" s="45"/>
      <c r="F40" s="45"/>
      <c r="G40" s="45"/>
      <c r="H40" s="45"/>
      <c r="I40" s="45"/>
      <c r="J40" s="45"/>
      <c r="K40" s="45"/>
      <c r="L40" s="329"/>
      <c r="M40" s="320"/>
    </row>
  </sheetData>
  <phoneticPr fontId="32" type="noConversion"/>
  <pageMargins left="0.25" right="0.25" top="0.75" bottom="0.75" header="0.3" footer="0.3"/>
  <pageSetup scale="95" orientation="landscape" r:id="rId1"/>
  <headerFooter alignWithMargins="0">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9BD2-52F2-4A16-9079-B9A4F1D0017D}">
  <sheetPr>
    <pageSetUpPr fitToPage="1"/>
  </sheetPr>
  <dimension ref="A1:A2"/>
  <sheetViews>
    <sheetView zoomScale="75" workbookViewId="0">
      <selection activeCell="A2" sqref="A2"/>
    </sheetView>
  </sheetViews>
  <sheetFormatPr baseColWidth="10" defaultColWidth="9.3984375" defaultRowHeight="13"/>
  <cols>
    <col min="1" max="16384" width="9.3984375" style="20"/>
  </cols>
  <sheetData>
    <row r="1" spans="1:1" ht="20">
      <c r="A1" s="35" t="str">
        <f>+'Summary Pg'!B1</f>
        <v>Name of Company</v>
      </c>
    </row>
    <row r="2" spans="1:1">
      <c r="A2" s="21" t="s">
        <v>402</v>
      </c>
    </row>
  </sheetData>
  <phoneticPr fontId="32" type="noConversion"/>
  <pageMargins left="0.25" right="0.25" top="0.75" bottom="0.75" header="0.3" footer="0.3"/>
  <pageSetup orientation="portrait" r:id="rId1"/>
  <headerFooter alignWithMargins="0">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ADA9-41A7-48E5-A2CD-FDEFA65C87D1}">
  <sheetPr>
    <pageSetUpPr fitToPage="1"/>
  </sheetPr>
  <dimension ref="A1:L32"/>
  <sheetViews>
    <sheetView zoomScale="75" workbookViewId="0">
      <selection activeCell="A2" sqref="A2"/>
    </sheetView>
  </sheetViews>
  <sheetFormatPr baseColWidth="10" defaultColWidth="9.3984375" defaultRowHeight="13"/>
  <cols>
    <col min="1" max="1" width="13.59765625" style="20" customWidth="1"/>
    <col min="2" max="2" width="20" style="20" customWidth="1"/>
    <col min="3" max="3" width="26" style="20" customWidth="1"/>
    <col min="4" max="4" width="15.59765625" style="20" customWidth="1"/>
    <col min="5" max="5" width="17.3984375" style="20" customWidth="1"/>
    <col min="6" max="6" width="16.19921875" style="20" customWidth="1"/>
    <col min="7" max="9" width="16" style="20" customWidth="1"/>
    <col min="10" max="10" width="16.3984375" style="20" bestFit="1" customWidth="1"/>
    <col min="11" max="11" width="21.3984375" style="20" bestFit="1" customWidth="1"/>
    <col min="12" max="12" width="60.19921875" style="20" customWidth="1"/>
    <col min="13" max="16384" width="9.3984375" style="20"/>
  </cols>
  <sheetData>
    <row r="1" spans="1:12" ht="20">
      <c r="A1" s="35" t="str">
        <f>+'Summary Pg'!B1</f>
        <v>Name of Company</v>
      </c>
    </row>
    <row r="2" spans="1:12">
      <c r="A2" s="21" t="s">
        <v>403</v>
      </c>
    </row>
    <row r="6" spans="1:12" ht="14" thickBot="1">
      <c r="A6" s="136" t="s">
        <v>345</v>
      </c>
      <c r="B6" s="136" t="s">
        <v>404</v>
      </c>
      <c r="C6" s="136" t="s">
        <v>405</v>
      </c>
      <c r="D6" s="136" t="s">
        <v>406</v>
      </c>
      <c r="E6" s="136" t="s">
        <v>140</v>
      </c>
      <c r="F6" s="136" t="s">
        <v>399</v>
      </c>
      <c r="G6" s="136" t="s">
        <v>359</v>
      </c>
      <c r="H6" s="136" t="s">
        <v>407</v>
      </c>
      <c r="I6" s="136" t="s">
        <v>408</v>
      </c>
      <c r="J6" s="136" t="s">
        <v>409</v>
      </c>
      <c r="K6" s="136" t="s">
        <v>410</v>
      </c>
      <c r="L6" s="136" t="s">
        <v>337</v>
      </c>
    </row>
    <row r="7" spans="1:12">
      <c r="A7" s="137"/>
      <c r="B7" s="22"/>
      <c r="C7" s="22"/>
      <c r="D7" s="22"/>
      <c r="E7" s="22"/>
      <c r="F7" s="22"/>
      <c r="G7" s="22"/>
      <c r="H7" s="22"/>
      <c r="I7" s="22"/>
      <c r="J7" s="22"/>
      <c r="K7" s="139"/>
    </row>
    <row r="8" spans="1:12">
      <c r="A8" s="138"/>
      <c r="B8" s="22"/>
      <c r="C8" s="22"/>
      <c r="D8" s="22"/>
      <c r="E8" s="22"/>
      <c r="F8" s="22"/>
      <c r="G8" s="22"/>
      <c r="H8" s="22"/>
      <c r="I8" s="22"/>
      <c r="J8" s="22"/>
      <c r="K8" s="139"/>
    </row>
    <row r="9" spans="1:12">
      <c r="A9" s="138"/>
      <c r="B9" s="22"/>
      <c r="C9" s="22"/>
      <c r="D9" s="22"/>
      <c r="E9" s="22"/>
      <c r="F9" s="22"/>
      <c r="G9" s="22"/>
      <c r="H9" s="22"/>
      <c r="I9" s="22"/>
      <c r="J9" s="22"/>
      <c r="K9" s="139"/>
    </row>
    <row r="10" spans="1:12">
      <c r="A10" s="138"/>
      <c r="B10" s="22"/>
      <c r="C10" s="22"/>
      <c r="D10" s="22"/>
      <c r="E10" s="22"/>
      <c r="F10" s="22"/>
      <c r="G10" s="22"/>
      <c r="H10" s="22"/>
      <c r="I10" s="22"/>
      <c r="J10" s="22"/>
      <c r="K10" s="139"/>
    </row>
    <row r="11" spans="1:12">
      <c r="A11" s="138"/>
      <c r="B11" s="22"/>
      <c r="C11" s="22"/>
      <c r="D11" s="22"/>
      <c r="E11" s="22"/>
      <c r="F11" s="22"/>
      <c r="G11" s="22"/>
      <c r="H11" s="22"/>
      <c r="I11" s="22"/>
      <c r="J11" s="22"/>
      <c r="K11" s="139"/>
    </row>
    <row r="12" spans="1:12">
      <c r="A12" s="138"/>
      <c r="B12" s="22"/>
      <c r="C12" s="22"/>
      <c r="D12" s="22"/>
      <c r="E12" s="22"/>
      <c r="F12" s="22"/>
      <c r="G12" s="22"/>
      <c r="H12" s="22"/>
      <c r="I12" s="22"/>
      <c r="J12" s="22"/>
      <c r="K12" s="139"/>
    </row>
    <row r="13" spans="1:12">
      <c r="A13" s="138"/>
      <c r="B13" s="22"/>
      <c r="C13" s="22"/>
      <c r="D13" s="22"/>
      <c r="E13" s="22"/>
      <c r="F13" s="22"/>
      <c r="G13" s="22"/>
      <c r="H13" s="22"/>
      <c r="I13" s="22"/>
      <c r="J13" s="22"/>
      <c r="K13" s="139"/>
    </row>
    <row r="14" spans="1:12">
      <c r="A14" s="138"/>
      <c r="B14" s="22"/>
      <c r="C14" s="22"/>
      <c r="D14" s="22"/>
      <c r="E14" s="22"/>
      <c r="F14" s="22"/>
      <c r="G14" s="22"/>
      <c r="H14" s="22"/>
      <c r="I14" s="22"/>
      <c r="J14" s="22"/>
      <c r="K14" s="139"/>
    </row>
    <row r="15" spans="1:12">
      <c r="A15" s="138"/>
      <c r="B15" s="22"/>
      <c r="C15" s="22"/>
      <c r="D15" s="22"/>
      <c r="E15" s="22"/>
      <c r="F15" s="22"/>
      <c r="G15" s="22"/>
      <c r="H15" s="22"/>
      <c r="I15" s="22"/>
      <c r="J15" s="22"/>
      <c r="K15" s="139"/>
    </row>
    <row r="16" spans="1:12">
      <c r="A16" s="138"/>
      <c r="B16" s="22"/>
      <c r="C16" s="22"/>
      <c r="D16" s="22"/>
      <c r="E16" s="22"/>
      <c r="F16" s="22"/>
      <c r="G16" s="22"/>
      <c r="H16" s="22"/>
      <c r="I16" s="22"/>
      <c r="J16" s="22"/>
      <c r="K16" s="139"/>
    </row>
    <row r="17" spans="1:12">
      <c r="A17" s="138"/>
      <c r="B17" s="22"/>
      <c r="C17" s="22"/>
      <c r="D17" s="22"/>
      <c r="E17" s="22"/>
      <c r="F17" s="22"/>
      <c r="G17" s="22"/>
      <c r="H17" s="22"/>
      <c r="I17" s="22"/>
      <c r="J17" s="22"/>
      <c r="K17" s="139"/>
    </row>
    <row r="18" spans="1:12">
      <c r="A18" s="138"/>
      <c r="B18" s="22"/>
      <c r="C18" s="22"/>
      <c r="D18" s="22"/>
      <c r="E18" s="22"/>
      <c r="F18" s="22"/>
      <c r="G18" s="22"/>
      <c r="H18" s="22"/>
      <c r="I18" s="22"/>
      <c r="J18" s="22"/>
      <c r="K18" s="139"/>
    </row>
    <row r="19" spans="1:12">
      <c r="A19" s="138"/>
      <c r="B19" s="22"/>
      <c r="C19" s="22"/>
      <c r="D19" s="22"/>
      <c r="E19" s="22"/>
      <c r="F19" s="22"/>
      <c r="G19" s="22"/>
      <c r="H19" s="22"/>
      <c r="I19" s="22"/>
      <c r="J19" s="22"/>
      <c r="K19" s="139"/>
    </row>
    <row r="20" spans="1:12">
      <c r="A20" s="138"/>
      <c r="B20" s="22"/>
      <c r="C20" s="22"/>
      <c r="D20" s="22"/>
      <c r="E20" s="22"/>
      <c r="F20" s="22"/>
      <c r="G20" s="22"/>
      <c r="H20" s="22"/>
      <c r="I20" s="22"/>
      <c r="J20" s="22"/>
      <c r="K20" s="139"/>
    </row>
    <row r="21" spans="1:12">
      <c r="A21" s="138"/>
      <c r="B21" s="22"/>
      <c r="C21" s="22"/>
      <c r="D21" s="22"/>
      <c r="E21" s="22"/>
      <c r="F21" s="22"/>
      <c r="G21" s="22"/>
      <c r="H21" s="22"/>
      <c r="I21" s="22"/>
      <c r="J21" s="22"/>
      <c r="K21" s="139"/>
    </row>
    <row r="22" spans="1:12">
      <c r="A22" s="138"/>
      <c r="B22" s="22"/>
      <c r="C22" s="22"/>
      <c r="D22" s="22"/>
      <c r="E22" s="22"/>
      <c r="F22" s="22"/>
      <c r="G22" s="22"/>
      <c r="H22" s="22"/>
      <c r="I22" s="22"/>
      <c r="J22" s="22"/>
      <c r="K22" s="139"/>
    </row>
    <row r="23" spans="1:12">
      <c r="A23" s="138"/>
      <c r="B23" s="22"/>
      <c r="C23" s="22"/>
      <c r="D23" s="22"/>
      <c r="E23" s="22"/>
      <c r="F23" s="22"/>
      <c r="G23" s="22"/>
      <c r="H23" s="22"/>
      <c r="I23" s="22"/>
      <c r="J23" s="22"/>
      <c r="K23" s="139"/>
    </row>
    <row r="24" spans="1:12">
      <c r="A24" s="138"/>
      <c r="B24" s="22"/>
      <c r="C24" s="22"/>
      <c r="D24" s="22"/>
      <c r="E24" s="22"/>
      <c r="F24" s="22"/>
      <c r="G24" s="22"/>
      <c r="H24" s="22"/>
      <c r="I24" s="22"/>
      <c r="J24" s="22"/>
      <c r="K24" s="139"/>
    </row>
    <row r="25" spans="1:12">
      <c r="A25" s="138"/>
      <c r="B25" s="22"/>
      <c r="C25" s="22"/>
      <c r="D25" s="22"/>
      <c r="E25" s="22"/>
      <c r="F25" s="22"/>
      <c r="G25" s="22"/>
      <c r="H25" s="22"/>
      <c r="I25" s="22"/>
      <c r="J25" s="22"/>
      <c r="K25" s="139"/>
    </row>
    <row r="26" spans="1:12">
      <c r="A26" s="138"/>
      <c r="B26" s="22"/>
      <c r="C26" s="22"/>
      <c r="D26" s="22"/>
      <c r="E26" s="22"/>
      <c r="F26" s="22"/>
      <c r="G26" s="22"/>
      <c r="H26" s="22"/>
      <c r="I26" s="22"/>
      <c r="J26" s="22"/>
      <c r="K26" s="139"/>
    </row>
    <row r="27" spans="1:12">
      <c r="A27" s="138"/>
      <c r="B27" s="22"/>
      <c r="C27" s="22"/>
      <c r="D27" s="22"/>
      <c r="E27" s="22"/>
      <c r="F27" s="22"/>
      <c r="G27" s="22"/>
      <c r="H27" s="22"/>
      <c r="I27" s="22"/>
      <c r="J27" s="22"/>
      <c r="K27" s="139"/>
    </row>
    <row r="28" spans="1:12">
      <c r="A28" s="138"/>
      <c r="B28" s="22"/>
      <c r="C28" s="22"/>
      <c r="D28" s="22"/>
      <c r="E28" s="22"/>
      <c r="F28" s="22"/>
      <c r="G28" s="22"/>
      <c r="H28" s="22"/>
      <c r="I28" s="22"/>
      <c r="J28" s="22"/>
      <c r="K28" s="139"/>
    </row>
    <row r="29" spans="1:12">
      <c r="A29" s="138"/>
      <c r="B29" s="22"/>
      <c r="C29" s="22"/>
      <c r="D29" s="22"/>
      <c r="E29" s="22"/>
      <c r="F29" s="22"/>
      <c r="G29" s="22"/>
      <c r="H29" s="22"/>
      <c r="I29" s="22"/>
      <c r="J29" s="22"/>
      <c r="K29" s="139"/>
    </row>
    <row r="30" spans="1:12">
      <c r="A30" s="138"/>
      <c r="B30" s="22"/>
      <c r="C30" s="22"/>
      <c r="D30" s="22"/>
      <c r="E30" s="22"/>
      <c r="F30" s="22"/>
      <c r="G30" s="22"/>
      <c r="H30" s="22"/>
      <c r="I30" s="22"/>
      <c r="J30" s="22"/>
      <c r="K30" s="139"/>
    </row>
    <row r="31" spans="1:12" ht="14" thickBot="1">
      <c r="B31" s="22"/>
      <c r="C31" s="22"/>
      <c r="D31" s="22"/>
      <c r="E31" s="22"/>
      <c r="F31" s="22"/>
      <c r="G31" s="22"/>
      <c r="H31" s="22"/>
      <c r="I31" s="22"/>
      <c r="J31" s="22"/>
      <c r="K31" s="22"/>
    </row>
    <row r="32" spans="1:12" ht="14" thickBot="1">
      <c r="J32" s="140" t="e">
        <f>AVERAGE(J8:J30)</f>
        <v>#DIV/0!</v>
      </c>
      <c r="K32" s="140" t="e">
        <f>AVERAGE(K8:K30)</f>
        <v>#DIV/0!</v>
      </c>
      <c r="L32" s="21" t="s">
        <v>411</v>
      </c>
    </row>
  </sheetData>
  <phoneticPr fontId="32" type="noConversion"/>
  <pageMargins left="0.25" right="0.25" top="0.75" bottom="0.75" header="0.3" footer="0.3"/>
  <pageSetup scale="58" orientation="landscape" r:id="rId1"/>
  <headerFooter alignWithMargins="0">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2F6D-743D-4B50-BA77-A0859215AC24}">
  <sheetPr codeName="Sheet16">
    <pageSetUpPr fitToPage="1"/>
  </sheetPr>
  <dimension ref="A1:BS63"/>
  <sheetViews>
    <sheetView showGridLines="0" zoomScale="85" zoomScaleNormal="85" workbookViewId="0">
      <pane xSplit="1" ySplit="5" topLeftCell="AT6" activePane="bottomRight" state="frozen"/>
      <selection pane="topRight" activeCell="B21" sqref="B21"/>
      <selection pane="bottomLeft" activeCell="B21" sqref="B21"/>
      <selection pane="bottomRight" activeCell="B1" sqref="B1:BS65536"/>
    </sheetView>
  </sheetViews>
  <sheetFormatPr baseColWidth="10" defaultColWidth="9.3984375" defaultRowHeight="11" outlineLevelCol="1"/>
  <cols>
    <col min="1" max="1" width="34.3984375" style="1" bestFit="1" customWidth="1"/>
    <col min="2" max="2" width="12.19921875" style="1" bestFit="1" customWidth="1"/>
    <col min="3" max="3" width="12.59765625" style="1" bestFit="1" customWidth="1"/>
    <col min="4" max="4" width="12.19921875" style="1" bestFit="1" customWidth="1"/>
    <col min="5" max="6" width="12.59765625" style="1" bestFit="1" customWidth="1"/>
    <col min="7" max="7" width="11.59765625" style="3" hidden="1" customWidth="1" outlineLevel="1"/>
    <col min="8" max="9" width="12.19921875" style="3" hidden="1" customWidth="1" outlineLevel="1"/>
    <col min="10" max="10" width="12.59765625" style="3" hidden="1" customWidth="1" outlineLevel="1"/>
    <col min="11" max="11" width="12.59765625" style="3" bestFit="1" customWidth="1" collapsed="1"/>
    <col min="12" max="12" width="11.59765625" style="1" hidden="1" customWidth="1" outlineLevel="1"/>
    <col min="13" max="14" width="12.19921875" style="3" hidden="1" customWidth="1" outlineLevel="1"/>
    <col min="15" max="15" width="12.59765625" style="2" hidden="1" customWidth="1" outlineLevel="1"/>
    <col min="16" max="16" width="12.59765625" style="1" bestFit="1" customWidth="1" collapsed="1"/>
    <col min="17" max="17" width="11.59765625" style="1" customWidth="1" outlineLevel="1"/>
    <col min="18" max="19" width="12.19921875" style="1" customWidth="1" outlineLevel="1"/>
    <col min="20" max="20" width="12.59765625" style="1" customWidth="1" outlineLevel="1"/>
    <col min="21" max="21" width="12.59765625" style="1" bestFit="1" customWidth="1"/>
    <col min="22" max="24" width="10.796875" style="1" hidden="1" customWidth="1" outlineLevel="1"/>
    <col min="25" max="25" width="12" style="1" hidden="1" customWidth="1" outlineLevel="1"/>
    <col min="26" max="26" width="12" style="1" bestFit="1" customWidth="1" collapsed="1"/>
    <col min="27" max="29" width="10.796875" style="1" hidden="1" customWidth="1" outlineLevel="1"/>
    <col min="30" max="30" width="12" style="1" hidden="1" customWidth="1" outlineLevel="1"/>
    <col min="31" max="31" width="12" style="1" bestFit="1" customWidth="1" collapsed="1"/>
    <col min="32" max="34" width="10.796875" style="1" hidden="1" customWidth="1" outlineLevel="1"/>
    <col min="35" max="35" width="12" style="1" hidden="1" customWidth="1" outlineLevel="1"/>
    <col min="36" max="36" width="12" style="1" bestFit="1" customWidth="1" collapsed="1"/>
    <col min="37" max="39" width="10.796875" style="1" hidden="1" customWidth="1" outlineLevel="1"/>
    <col min="40" max="40" width="12" style="1" hidden="1" customWidth="1" outlineLevel="1"/>
    <col min="41" max="41" width="12" style="1" bestFit="1" customWidth="1" collapsed="1"/>
    <col min="42" max="42" width="10.796875" style="1" hidden="1" customWidth="1" outlineLevel="1"/>
    <col min="43" max="43" width="15.3984375" style="1" hidden="1" customWidth="1" outlineLevel="1"/>
    <col min="44" max="44" width="10.796875" style="1" hidden="1" customWidth="1" outlineLevel="1"/>
    <col min="45" max="45" width="12" style="1" hidden="1" customWidth="1" outlineLevel="1"/>
    <col min="46" max="46" width="12" style="1" bestFit="1" customWidth="1" collapsed="1"/>
    <col min="47" max="47" width="10.796875" style="1" hidden="1" customWidth="1" outlineLevel="1"/>
    <col min="48" max="48" width="15.3984375" style="1" hidden="1" customWidth="1" outlineLevel="1"/>
    <col min="49" max="49" width="10.796875" style="1" hidden="1" customWidth="1" outlineLevel="1"/>
    <col min="50" max="50" width="12" style="1" hidden="1" customWidth="1" outlineLevel="1"/>
    <col min="51" max="51" width="12" style="1" bestFit="1" customWidth="1" collapsed="1"/>
    <col min="52" max="52" width="10.796875" style="1" hidden="1" customWidth="1" outlineLevel="1"/>
    <col min="53" max="53" width="15.3984375" style="1" hidden="1" customWidth="1" outlineLevel="1"/>
    <col min="54" max="54" width="10.796875" style="1" hidden="1" customWidth="1" outlineLevel="1"/>
    <col min="55" max="55" width="12" style="1" hidden="1" customWidth="1" outlineLevel="1"/>
    <col min="56" max="56" width="12" style="1" bestFit="1" customWidth="1" collapsed="1"/>
    <col min="57" max="57" width="10.796875" style="1" bestFit="1" customWidth="1" outlineLevel="1"/>
    <col min="58" max="59" width="15.3984375" style="1" bestFit="1" customWidth="1" outlineLevel="1"/>
    <col min="60" max="60" width="12" style="1" customWidth="1" outlineLevel="1"/>
    <col min="61" max="61" width="12" style="1" bestFit="1" customWidth="1"/>
    <col min="62" max="62" width="10.796875" style="1" bestFit="1" customWidth="1" outlineLevel="1"/>
    <col min="63" max="64" width="15.3984375" style="1" bestFit="1" customWidth="1" outlineLevel="1"/>
    <col min="65" max="65" width="15.59765625" style="1" bestFit="1" customWidth="1" outlineLevel="1"/>
    <col min="66" max="66" width="15.59765625" style="1" bestFit="1" customWidth="1"/>
    <col min="67" max="67" width="14.796875" style="1" bestFit="1" customWidth="1" outlineLevel="1"/>
    <col min="68" max="69" width="15.3984375" style="1" bestFit="1" customWidth="1" outlineLevel="1"/>
    <col min="70" max="70" width="15.59765625" style="1" bestFit="1" customWidth="1" outlineLevel="1"/>
    <col min="71" max="71" width="15.59765625" style="1" bestFit="1" customWidth="1"/>
    <col min="72" max="16384" width="9.3984375" style="1"/>
  </cols>
  <sheetData>
    <row r="1" spans="1:71" s="13" customFormat="1" ht="18">
      <c r="A1" s="12" t="str">
        <f>+'Summary Pg'!B1</f>
        <v>Name of Company</v>
      </c>
      <c r="B1" s="12"/>
      <c r="C1" s="12"/>
      <c r="E1" s="12"/>
      <c r="F1" s="12"/>
      <c r="G1" s="14"/>
      <c r="H1" s="14"/>
      <c r="I1" s="14"/>
      <c r="J1" s="14"/>
      <c r="K1" s="14"/>
      <c r="M1" s="14"/>
      <c r="N1" s="14"/>
      <c r="O1" s="15"/>
    </row>
    <row r="2" spans="1:71" s="13" customFormat="1" ht="18">
      <c r="A2" s="16" t="s">
        <v>412</v>
      </c>
      <c r="B2" s="16"/>
      <c r="C2" s="16"/>
      <c r="E2" s="12"/>
      <c r="F2" s="12"/>
      <c r="G2" s="14"/>
      <c r="H2" s="14"/>
      <c r="I2" s="14"/>
      <c r="J2" s="14"/>
      <c r="K2" s="14"/>
      <c r="M2" s="14"/>
      <c r="N2" s="14"/>
      <c r="O2" s="15"/>
    </row>
    <row r="3" spans="1:71" s="13" customFormat="1">
      <c r="A3" s="17"/>
      <c r="B3" s="17"/>
      <c r="C3" s="17"/>
      <c r="E3" s="17"/>
      <c r="F3" s="17"/>
      <c r="G3" s="14"/>
      <c r="H3" s="14"/>
      <c r="I3" s="14"/>
      <c r="J3" s="14"/>
      <c r="K3" s="14"/>
      <c r="M3" s="14"/>
      <c r="N3" s="14"/>
      <c r="O3" s="15"/>
    </row>
    <row r="4" spans="1:71" s="13" customFormat="1" ht="13">
      <c r="B4" s="9" t="s">
        <v>134</v>
      </c>
      <c r="C4" s="9" t="s">
        <v>134</v>
      </c>
      <c r="D4" s="253" t="s">
        <v>134</v>
      </c>
      <c r="E4" s="253" t="s">
        <v>134</v>
      </c>
      <c r="F4" s="253" t="s">
        <v>134</v>
      </c>
      <c r="G4" s="634">
        <v>1</v>
      </c>
      <c r="H4" s="634">
        <v>2</v>
      </c>
      <c r="I4" s="634">
        <v>3</v>
      </c>
      <c r="J4" s="634">
        <v>4</v>
      </c>
      <c r="K4" s="253" t="s">
        <v>134</v>
      </c>
      <c r="L4" s="634">
        <v>1</v>
      </c>
      <c r="M4" s="634">
        <v>2</v>
      </c>
      <c r="N4" s="634">
        <v>3</v>
      </c>
      <c r="O4" s="634">
        <v>4</v>
      </c>
      <c r="P4" s="253" t="s">
        <v>134</v>
      </c>
      <c r="Q4" s="634">
        <v>1</v>
      </c>
      <c r="R4" s="634">
        <v>2</v>
      </c>
      <c r="S4" s="634">
        <v>3</v>
      </c>
      <c r="T4" s="634">
        <v>4</v>
      </c>
      <c r="U4" s="253" t="s">
        <v>134</v>
      </c>
      <c r="V4" s="634">
        <v>1</v>
      </c>
      <c r="W4" s="634">
        <v>2</v>
      </c>
      <c r="X4" s="634">
        <v>3</v>
      </c>
      <c r="Y4" s="634">
        <v>4</v>
      </c>
      <c r="Z4" s="253" t="s">
        <v>134</v>
      </c>
      <c r="AA4" s="634">
        <v>1</v>
      </c>
      <c r="AB4" s="634">
        <v>2</v>
      </c>
      <c r="AC4" s="634">
        <v>3</v>
      </c>
      <c r="AD4" s="634">
        <v>4</v>
      </c>
      <c r="AE4" s="253" t="s">
        <v>134</v>
      </c>
      <c r="AF4" s="634">
        <v>1</v>
      </c>
      <c r="AG4" s="634">
        <v>2</v>
      </c>
      <c r="AH4" s="634">
        <v>3</v>
      </c>
      <c r="AI4" s="634">
        <v>4</v>
      </c>
      <c r="AJ4" s="253" t="s">
        <v>134</v>
      </c>
      <c r="AK4" s="634">
        <v>1</v>
      </c>
      <c r="AL4" s="634">
        <v>2</v>
      </c>
      <c r="AM4" s="634">
        <v>3</v>
      </c>
      <c r="AN4" s="634">
        <v>4</v>
      </c>
      <c r="AO4" s="253" t="s">
        <v>134</v>
      </c>
      <c r="AP4" s="634">
        <v>1</v>
      </c>
      <c r="AQ4" s="634">
        <v>2</v>
      </c>
      <c r="AR4" s="634">
        <v>3</v>
      </c>
      <c r="AS4" s="634">
        <v>4</v>
      </c>
      <c r="AT4" s="253" t="s">
        <v>134</v>
      </c>
      <c r="AU4" s="634">
        <v>1</v>
      </c>
      <c r="AV4" s="634">
        <v>2</v>
      </c>
      <c r="AW4" s="634">
        <v>3</v>
      </c>
      <c r="AX4" s="634">
        <v>4</v>
      </c>
      <c r="AY4" s="253" t="s">
        <v>134</v>
      </c>
      <c r="AZ4" s="634">
        <v>1</v>
      </c>
      <c r="BA4" s="634">
        <v>2</v>
      </c>
      <c r="BB4" s="634">
        <v>3</v>
      </c>
      <c r="BC4" s="634">
        <v>4</v>
      </c>
      <c r="BD4" s="253" t="s">
        <v>134</v>
      </c>
      <c r="BE4" s="634">
        <v>1</v>
      </c>
      <c r="BF4" s="634">
        <v>2</v>
      </c>
      <c r="BG4" s="634">
        <v>3</v>
      </c>
      <c r="BH4" s="634">
        <v>4</v>
      </c>
      <c r="BI4" s="253" t="s">
        <v>134</v>
      </c>
      <c r="BJ4" s="634">
        <v>1</v>
      </c>
      <c r="BK4" s="635">
        <v>2</v>
      </c>
      <c r="BL4" s="635">
        <v>3</v>
      </c>
      <c r="BM4" s="635">
        <v>4</v>
      </c>
      <c r="BN4" s="361" t="s">
        <v>134</v>
      </c>
      <c r="BO4" s="635">
        <v>1</v>
      </c>
      <c r="BP4" s="635">
        <v>2</v>
      </c>
      <c r="BQ4" s="635">
        <v>3</v>
      </c>
      <c r="BR4" s="635">
        <v>4</v>
      </c>
      <c r="BS4" s="361" t="s">
        <v>134</v>
      </c>
    </row>
    <row r="5" spans="1:71" s="13" customFormat="1" ht="13">
      <c r="B5" s="11">
        <v>36525</v>
      </c>
      <c r="C5" s="11">
        <v>36891</v>
      </c>
      <c r="D5" s="639">
        <v>37256</v>
      </c>
      <c r="E5" s="639">
        <f>EOMONTH(D5,12)</f>
        <v>37621</v>
      </c>
      <c r="F5" s="639">
        <f>EOMONTH(E5,12)</f>
        <v>37986</v>
      </c>
      <c r="G5" s="123">
        <f>EOMONTH(F5,3)</f>
        <v>38077</v>
      </c>
      <c r="H5" s="123">
        <f>EOMONTH(G5,3)</f>
        <v>38168</v>
      </c>
      <c r="I5" s="123">
        <f>EOMONTH(H5,3)</f>
        <v>38260</v>
      </c>
      <c r="J5" s="123">
        <f>EOMONTH(I5,3)</f>
        <v>38352</v>
      </c>
      <c r="K5" s="639">
        <f>EOMONTH(F5,12)</f>
        <v>38352</v>
      </c>
      <c r="L5" s="123">
        <f>EOMONTH(K5,3)</f>
        <v>38442</v>
      </c>
      <c r="M5" s="123">
        <f>EOMONTH(L5,3)</f>
        <v>38533</v>
      </c>
      <c r="N5" s="123">
        <f>EOMONTH(M5,3)</f>
        <v>38625</v>
      </c>
      <c r="O5" s="123">
        <f>EOMONTH(N5,3)</f>
        <v>38717</v>
      </c>
      <c r="P5" s="639">
        <f>EOMONTH(K5,12)</f>
        <v>38717</v>
      </c>
      <c r="Q5" s="123">
        <f>EOMONTH(P5,3)</f>
        <v>38807</v>
      </c>
      <c r="R5" s="123">
        <f>EOMONTH(Q5,3)</f>
        <v>38898</v>
      </c>
      <c r="S5" s="123">
        <f>EOMONTH(R5,3)</f>
        <v>38990</v>
      </c>
      <c r="T5" s="123">
        <f>EOMONTH(S5,3)</f>
        <v>39082</v>
      </c>
      <c r="U5" s="639">
        <f>EOMONTH(P5,12)</f>
        <v>39082</v>
      </c>
      <c r="V5" s="123">
        <f>EOMONTH(U5,3)</f>
        <v>39172</v>
      </c>
      <c r="W5" s="123">
        <f>EOMONTH(V5,3)</f>
        <v>39263</v>
      </c>
      <c r="X5" s="123">
        <f>EOMONTH(W5,3)</f>
        <v>39355</v>
      </c>
      <c r="Y5" s="123">
        <f>EOMONTH(X5,3)</f>
        <v>39447</v>
      </c>
      <c r="Z5" s="639">
        <f>+Y5</f>
        <v>39447</v>
      </c>
      <c r="AA5" s="123">
        <f>EOMONTH(Z5,3)</f>
        <v>39538</v>
      </c>
      <c r="AB5" s="123">
        <f>EOMONTH(AA5,3)</f>
        <v>39629</v>
      </c>
      <c r="AC5" s="123">
        <f>EOMONTH(AB5,3)</f>
        <v>39721</v>
      </c>
      <c r="AD5" s="123">
        <f>EOMONTH(AC5,3)</f>
        <v>39813</v>
      </c>
      <c r="AE5" s="639">
        <f>+AD5</f>
        <v>39813</v>
      </c>
      <c r="AF5" s="123">
        <f>EOMONTH(AE5,3)</f>
        <v>39903</v>
      </c>
      <c r="AG5" s="123">
        <f>EOMONTH(AF5,3)</f>
        <v>39994</v>
      </c>
      <c r="AH5" s="123">
        <f>EOMONTH(AG5,3)</f>
        <v>40086</v>
      </c>
      <c r="AI5" s="123">
        <f>EOMONTH(AH5,3)</f>
        <v>40178</v>
      </c>
      <c r="AJ5" s="639">
        <f>+AI5</f>
        <v>40178</v>
      </c>
      <c r="AK5" s="123">
        <f>EOMONTH(AJ5,3)</f>
        <v>40268</v>
      </c>
      <c r="AL5" s="123">
        <f>EOMONTH(AK5,3)</f>
        <v>40359</v>
      </c>
      <c r="AM5" s="123">
        <f>EOMONTH(AL5,3)</f>
        <v>40451</v>
      </c>
      <c r="AN5" s="123">
        <f>EOMONTH(AM5,3)</f>
        <v>40543</v>
      </c>
      <c r="AO5" s="639">
        <f>+AN5</f>
        <v>40543</v>
      </c>
      <c r="AP5" s="123">
        <f>EOMONTH(AO5,3)</f>
        <v>40633</v>
      </c>
      <c r="AQ5" s="123">
        <f>EOMONTH(AP5,3)</f>
        <v>40724</v>
      </c>
      <c r="AR5" s="123">
        <f>EOMONTH(AQ5,3)</f>
        <v>40816</v>
      </c>
      <c r="AS5" s="123">
        <f>EOMONTH(AR5,3)</f>
        <v>40908</v>
      </c>
      <c r="AT5" s="639">
        <f>+AS5</f>
        <v>40908</v>
      </c>
      <c r="AU5" s="123">
        <f>EOMONTH(AT5,3)</f>
        <v>40999</v>
      </c>
      <c r="AV5" s="123">
        <f>EOMONTH(AU5,3)</f>
        <v>41090</v>
      </c>
      <c r="AW5" s="123">
        <f>EOMONTH(AV5,3)</f>
        <v>41182</v>
      </c>
      <c r="AX5" s="123">
        <f>EOMONTH(AW5,3)</f>
        <v>41274</v>
      </c>
      <c r="AY5" s="639">
        <f>+AX5</f>
        <v>41274</v>
      </c>
      <c r="AZ5" s="123">
        <f>EOMONTH(AY5,3)</f>
        <v>41364</v>
      </c>
      <c r="BA5" s="123">
        <f>EOMONTH(AZ5,3)</f>
        <v>41455</v>
      </c>
      <c r="BB5" s="123">
        <f>EOMONTH(BA5,3)</f>
        <v>41547</v>
      </c>
      <c r="BC5" s="123">
        <f>EOMONTH(BB5,3)</f>
        <v>41639</v>
      </c>
      <c r="BD5" s="639">
        <f>+BC5</f>
        <v>41639</v>
      </c>
      <c r="BE5" s="123">
        <f>EOMONTH(BD5,3)</f>
        <v>41729</v>
      </c>
      <c r="BF5" s="123">
        <f>EOMONTH(BE5,3)</f>
        <v>41820</v>
      </c>
      <c r="BG5" s="123">
        <f>EOMONTH(BF5,3)</f>
        <v>41912</v>
      </c>
      <c r="BH5" s="123">
        <f>EOMONTH(BG5,3)</f>
        <v>42004</v>
      </c>
      <c r="BI5" s="639">
        <f>+BH5</f>
        <v>42004</v>
      </c>
      <c r="BJ5" s="123">
        <f>EOMONTH(BI5,3)</f>
        <v>42094</v>
      </c>
      <c r="BK5" s="362">
        <f>EOMONTH(BJ5,3)</f>
        <v>42185</v>
      </c>
      <c r="BL5" s="362">
        <f>EOMONTH(BK5,3)</f>
        <v>42277</v>
      </c>
      <c r="BM5" s="362">
        <f>EOMONTH(BL5,3)</f>
        <v>42369</v>
      </c>
      <c r="BN5" s="363">
        <f>+BM5</f>
        <v>42369</v>
      </c>
      <c r="BO5" s="362">
        <f>EOMONTH(BN5,3)</f>
        <v>42460</v>
      </c>
      <c r="BP5" s="362">
        <f>EOMONTH(BO5,3)</f>
        <v>42551</v>
      </c>
      <c r="BQ5" s="362">
        <f>EOMONTH(BP5,3)</f>
        <v>42643</v>
      </c>
      <c r="BR5" s="362">
        <f>EOMONTH(BQ5,3)</f>
        <v>42735</v>
      </c>
      <c r="BS5" s="363">
        <f>+BR5</f>
        <v>42735</v>
      </c>
    </row>
    <row r="6" spans="1:71" s="13" customFormat="1" ht="13">
      <c r="A6" s="129"/>
      <c r="B6" s="121"/>
      <c r="C6" s="121"/>
      <c r="D6" s="121"/>
      <c r="E6" s="121"/>
      <c r="F6" s="121"/>
      <c r="G6" s="121"/>
      <c r="H6" s="121"/>
      <c r="I6" s="121"/>
      <c r="J6" s="121"/>
      <c r="K6" s="121"/>
      <c r="L6" s="121"/>
      <c r="M6" s="121"/>
      <c r="N6" s="121"/>
      <c r="O6" s="121"/>
      <c r="P6" s="121"/>
      <c r="Q6" s="121"/>
      <c r="R6" s="3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row>
    <row r="7" spans="1:71" s="18" customFormat="1" ht="13">
      <c r="A7" s="129" t="s">
        <v>413</v>
      </c>
      <c r="B7" s="113"/>
      <c r="C7" s="113"/>
      <c r="D7" s="113"/>
      <c r="E7" s="113"/>
      <c r="F7" s="113"/>
      <c r="G7" s="114"/>
      <c r="H7" s="114"/>
      <c r="I7" s="114"/>
      <c r="J7" s="114"/>
      <c r="K7" s="113"/>
      <c r="L7" s="114"/>
      <c r="M7" s="114"/>
      <c r="N7" s="114"/>
      <c r="O7" s="114"/>
      <c r="P7" s="113"/>
      <c r="Q7" s="114"/>
      <c r="R7" s="114"/>
      <c r="S7" s="114"/>
      <c r="T7" s="114"/>
      <c r="U7" s="113"/>
      <c r="V7" s="114"/>
      <c r="W7" s="114"/>
      <c r="X7" s="114"/>
      <c r="Y7" s="114"/>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row>
    <row r="8" spans="1:71" s="18" customFormat="1" ht="13">
      <c r="A8" s="130" t="s">
        <v>414</v>
      </c>
      <c r="B8" s="41"/>
      <c r="C8" s="41"/>
      <c r="D8" s="41"/>
      <c r="E8" s="41"/>
      <c r="F8" s="41"/>
      <c r="G8" s="134"/>
      <c r="H8" s="134"/>
      <c r="I8" s="134"/>
      <c r="J8" s="134"/>
      <c r="K8" s="41"/>
      <c r="L8" s="134"/>
      <c r="M8" s="134"/>
      <c r="N8" s="134"/>
      <c r="O8" s="134"/>
      <c r="P8" s="41"/>
      <c r="Q8" s="134"/>
      <c r="R8" s="134"/>
      <c r="S8" s="134"/>
      <c r="T8" s="134"/>
      <c r="U8" s="41"/>
      <c r="V8" s="134"/>
      <c r="W8" s="134"/>
      <c r="X8" s="134"/>
      <c r="Y8" s="134"/>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row>
    <row r="9" spans="1:71" s="18" customFormat="1" ht="13">
      <c r="A9" s="130" t="s">
        <v>415</v>
      </c>
      <c r="B9" s="43"/>
      <c r="C9" s="43"/>
      <c r="D9" s="43"/>
      <c r="E9" s="43"/>
      <c r="F9" s="43"/>
      <c r="G9" s="135"/>
      <c r="H9" s="135"/>
      <c r="I9" s="135"/>
      <c r="J9" s="135"/>
      <c r="K9" s="43"/>
      <c r="L9" s="135"/>
      <c r="M9" s="135"/>
      <c r="N9" s="135"/>
      <c r="O9" s="135"/>
      <c r="P9" s="43"/>
      <c r="Q9" s="135"/>
      <c r="R9" s="135"/>
      <c r="S9" s="135"/>
      <c r="T9" s="135"/>
      <c r="U9" s="43"/>
      <c r="V9" s="135"/>
      <c r="W9" s="135"/>
      <c r="X9" s="135"/>
      <c r="Y9" s="135"/>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row>
    <row r="10" spans="1:71" s="18" customFormat="1" ht="13">
      <c r="A10" s="131" t="s">
        <v>165</v>
      </c>
      <c r="B10" s="41">
        <f>SUM(B8:B9)</f>
        <v>0</v>
      </c>
      <c r="C10" s="41">
        <f t="shared" ref="C10:AJ10" si="0">SUM(C8:C9)</f>
        <v>0</v>
      </c>
      <c r="D10" s="41">
        <f t="shared" si="0"/>
        <v>0</v>
      </c>
      <c r="E10" s="41">
        <f t="shared" si="0"/>
        <v>0</v>
      </c>
      <c r="F10" s="41">
        <f t="shared" si="0"/>
        <v>0</v>
      </c>
      <c r="G10" s="41">
        <f t="shared" si="0"/>
        <v>0</v>
      </c>
      <c r="H10" s="41">
        <f t="shared" si="0"/>
        <v>0</v>
      </c>
      <c r="I10" s="41">
        <f t="shared" si="0"/>
        <v>0</v>
      </c>
      <c r="J10" s="41">
        <f t="shared" si="0"/>
        <v>0</v>
      </c>
      <c r="K10" s="41">
        <f t="shared" si="0"/>
        <v>0</v>
      </c>
      <c r="L10" s="41">
        <f t="shared" si="0"/>
        <v>0</v>
      </c>
      <c r="M10" s="41">
        <f t="shared" si="0"/>
        <v>0</v>
      </c>
      <c r="N10" s="41">
        <f t="shared" si="0"/>
        <v>0</v>
      </c>
      <c r="O10" s="41">
        <f t="shared" si="0"/>
        <v>0</v>
      </c>
      <c r="P10" s="41">
        <f t="shared" si="0"/>
        <v>0</v>
      </c>
      <c r="Q10" s="41">
        <f t="shared" si="0"/>
        <v>0</v>
      </c>
      <c r="R10" s="41">
        <f t="shared" si="0"/>
        <v>0</v>
      </c>
      <c r="S10" s="41">
        <f t="shared" si="0"/>
        <v>0</v>
      </c>
      <c r="T10" s="41">
        <f t="shared" si="0"/>
        <v>0</v>
      </c>
      <c r="U10" s="41">
        <f t="shared" si="0"/>
        <v>0</v>
      </c>
      <c r="V10" s="41">
        <f t="shared" si="0"/>
        <v>0</v>
      </c>
      <c r="W10" s="41">
        <f t="shared" si="0"/>
        <v>0</v>
      </c>
      <c r="X10" s="41">
        <f t="shared" si="0"/>
        <v>0</v>
      </c>
      <c r="Y10" s="41">
        <f t="shared" si="0"/>
        <v>0</v>
      </c>
      <c r="Z10" s="41">
        <f t="shared" si="0"/>
        <v>0</v>
      </c>
      <c r="AA10" s="41"/>
      <c r="AB10" s="41"/>
      <c r="AC10" s="41"/>
      <c r="AD10" s="41"/>
      <c r="AE10" s="41">
        <f t="shared" si="0"/>
        <v>0</v>
      </c>
      <c r="AF10" s="41"/>
      <c r="AG10" s="41"/>
      <c r="AH10" s="41"/>
      <c r="AI10" s="41"/>
      <c r="AJ10" s="41">
        <f t="shared" si="0"/>
        <v>0</v>
      </c>
      <c r="AK10" s="41"/>
      <c r="AL10" s="41"/>
      <c r="AM10" s="41"/>
      <c r="AN10" s="41"/>
      <c r="AO10" s="41">
        <f>SUM(AO8:AO9)</f>
        <v>0</v>
      </c>
      <c r="AP10" s="41"/>
      <c r="AQ10" s="41"/>
      <c r="AR10" s="41"/>
      <c r="AS10" s="41"/>
      <c r="AT10" s="41">
        <f>SUM(AT8:AT9)</f>
        <v>0</v>
      </c>
      <c r="AU10" s="41"/>
      <c r="AV10" s="41"/>
      <c r="AW10" s="41"/>
      <c r="AX10" s="41"/>
      <c r="AY10" s="41">
        <f>SUM(AY8:AY9)</f>
        <v>0</v>
      </c>
      <c r="AZ10" s="41"/>
      <c r="BA10" s="41"/>
      <c r="BB10" s="41"/>
      <c r="BC10" s="41"/>
      <c r="BD10" s="41">
        <f>SUM(BD8:BD9)</f>
        <v>0</v>
      </c>
      <c r="BE10" s="41"/>
      <c r="BF10" s="41"/>
      <c r="BG10" s="41"/>
      <c r="BH10" s="41"/>
      <c r="BI10" s="41">
        <f>SUM(BI8:BI9)</f>
        <v>0</v>
      </c>
      <c r="BJ10" s="41"/>
      <c r="BK10" s="41"/>
      <c r="BL10" s="41"/>
      <c r="BM10" s="41"/>
      <c r="BN10" s="41">
        <f>SUM(BN8:BN9)</f>
        <v>0</v>
      </c>
      <c r="BO10" s="41"/>
      <c r="BP10" s="41"/>
      <c r="BQ10" s="41"/>
      <c r="BR10" s="41"/>
      <c r="BS10" s="41">
        <f>SUM(BS8:BS9)</f>
        <v>0</v>
      </c>
    </row>
    <row r="11" spans="1:71" s="18" customFormat="1" ht="13">
      <c r="A11" s="130"/>
      <c r="B11" s="41"/>
      <c r="C11" s="41"/>
      <c r="D11" s="41"/>
      <c r="E11" s="41"/>
      <c r="F11" s="41"/>
      <c r="G11" s="134"/>
      <c r="H11" s="134"/>
      <c r="I11" s="134"/>
      <c r="J11" s="134"/>
      <c r="K11" s="41"/>
      <c r="L11" s="134"/>
      <c r="M11" s="134"/>
      <c r="N11" s="134"/>
      <c r="O11" s="134"/>
      <c r="P11" s="41"/>
      <c r="Q11" s="134"/>
      <c r="R11" s="134"/>
      <c r="S11" s="134"/>
      <c r="T11" s="134"/>
      <c r="U11" s="41"/>
      <c r="V11" s="134"/>
      <c r="W11" s="134"/>
      <c r="X11" s="134"/>
      <c r="Y11" s="134"/>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row>
    <row r="12" spans="1:71" s="18" customFormat="1" ht="13">
      <c r="A12" s="131"/>
      <c r="B12" s="24"/>
      <c r="C12" s="24"/>
      <c r="D12" s="24"/>
      <c r="E12" s="24"/>
      <c r="F12" s="24"/>
      <c r="G12" s="25"/>
      <c r="H12" s="25"/>
      <c r="I12" s="25"/>
      <c r="J12" s="25"/>
      <c r="K12" s="24"/>
      <c r="L12" s="25"/>
      <c r="M12" s="25"/>
      <c r="N12" s="25"/>
      <c r="O12" s="25"/>
      <c r="P12" s="24"/>
      <c r="Q12" s="25"/>
      <c r="R12" s="25"/>
      <c r="S12" s="25"/>
      <c r="T12" s="25"/>
      <c r="U12" s="24"/>
      <c r="V12" s="25"/>
      <c r="W12" s="25"/>
      <c r="X12" s="25"/>
      <c r="Y12" s="25"/>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row>
    <row r="13" spans="1:71" s="18" customFormat="1" ht="13">
      <c r="A13" s="129"/>
      <c r="B13" s="113"/>
      <c r="C13" s="113"/>
      <c r="D13" s="113"/>
      <c r="E13" s="113"/>
      <c r="F13" s="113"/>
      <c r="G13" s="114"/>
      <c r="H13" s="114"/>
      <c r="I13" s="114"/>
      <c r="J13" s="114"/>
      <c r="K13" s="113"/>
      <c r="L13" s="114"/>
      <c r="M13" s="114"/>
      <c r="N13" s="114"/>
      <c r="O13" s="114"/>
      <c r="P13" s="113"/>
      <c r="Q13" s="114"/>
      <c r="R13" s="114"/>
      <c r="S13" s="114"/>
      <c r="T13" s="114"/>
      <c r="U13" s="113"/>
      <c r="V13" s="114"/>
      <c r="W13" s="114"/>
      <c r="X13" s="114"/>
      <c r="Y13" s="114"/>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row>
    <row r="14" spans="1:71" s="18" customFormat="1" ht="13">
      <c r="A14" s="130"/>
      <c r="B14" s="24"/>
      <c r="C14" s="24"/>
      <c r="D14" s="24"/>
      <c r="E14" s="24"/>
      <c r="F14" s="24"/>
      <c r="G14" s="25"/>
      <c r="H14" s="25"/>
      <c r="I14" s="25"/>
      <c r="J14" s="25"/>
      <c r="K14" s="24"/>
      <c r="L14" s="25"/>
      <c r="M14" s="25"/>
      <c r="N14" s="25"/>
      <c r="O14" s="25"/>
      <c r="P14" s="24"/>
      <c r="Q14" s="25"/>
      <c r="R14" s="25"/>
      <c r="S14" s="25"/>
      <c r="T14" s="25"/>
      <c r="U14" s="24"/>
      <c r="V14" s="25"/>
      <c r="W14" s="25"/>
      <c r="X14" s="25"/>
      <c r="Y14" s="25"/>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row>
    <row r="15" spans="1:71" s="18" customFormat="1" ht="13">
      <c r="A15" s="131"/>
      <c r="B15" s="24"/>
      <c r="C15" s="24"/>
      <c r="D15" s="24"/>
      <c r="E15" s="24"/>
      <c r="F15" s="24"/>
      <c r="G15" s="25"/>
      <c r="H15" s="25"/>
      <c r="I15" s="25"/>
      <c r="J15" s="25"/>
      <c r="K15" s="24"/>
      <c r="L15" s="25"/>
      <c r="M15" s="25"/>
      <c r="N15" s="25"/>
      <c r="O15" s="25"/>
      <c r="P15" s="24"/>
      <c r="Q15" s="25"/>
      <c r="R15" s="25"/>
      <c r="S15" s="25"/>
      <c r="T15" s="25"/>
      <c r="U15" s="24"/>
      <c r="V15" s="25"/>
      <c r="W15" s="25"/>
      <c r="X15" s="25"/>
      <c r="Y15" s="25"/>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row>
    <row r="16" spans="1:71" s="18" customFormat="1" ht="13">
      <c r="A16" s="130"/>
      <c r="B16" s="24"/>
      <c r="C16" s="24"/>
      <c r="D16" s="24"/>
      <c r="E16" s="24"/>
      <c r="F16" s="24"/>
      <c r="G16" s="25"/>
      <c r="H16" s="25"/>
      <c r="I16" s="25"/>
      <c r="J16" s="25"/>
      <c r="K16" s="24"/>
      <c r="L16" s="25"/>
      <c r="M16" s="25"/>
      <c r="N16" s="25"/>
      <c r="O16" s="25"/>
      <c r="P16" s="24"/>
      <c r="Q16" s="25"/>
      <c r="R16" s="25"/>
      <c r="S16" s="25"/>
      <c r="T16" s="25"/>
      <c r="U16" s="24"/>
      <c r="V16" s="25"/>
      <c r="W16" s="25"/>
      <c r="X16" s="25"/>
      <c r="Y16" s="25"/>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row>
    <row r="17" spans="1:71" s="18" customFormat="1" ht="13">
      <c r="A17" s="131"/>
      <c r="B17" s="24"/>
      <c r="C17" s="24"/>
      <c r="D17" s="24"/>
      <c r="E17" s="24"/>
      <c r="F17" s="24"/>
      <c r="G17" s="25"/>
      <c r="H17" s="25"/>
      <c r="I17" s="25"/>
      <c r="J17" s="25"/>
      <c r="K17" s="24"/>
      <c r="L17" s="25"/>
      <c r="M17" s="25"/>
      <c r="N17" s="25"/>
      <c r="O17" s="25"/>
      <c r="P17" s="24"/>
      <c r="Q17" s="25"/>
      <c r="R17" s="25"/>
      <c r="S17" s="25"/>
      <c r="T17" s="25"/>
      <c r="U17" s="24"/>
      <c r="V17" s="25"/>
      <c r="W17" s="25"/>
      <c r="X17" s="25"/>
      <c r="Y17" s="25"/>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row>
    <row r="18" spans="1:71" s="18" customFormat="1" ht="13">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row>
    <row r="19" spans="1:71">
      <c r="K19" s="1"/>
      <c r="L19" s="3"/>
      <c r="O19" s="3"/>
      <c r="Q19" s="3"/>
      <c r="R19" s="132"/>
      <c r="S19" s="132"/>
      <c r="T19" s="132"/>
      <c r="U19" s="132"/>
      <c r="V19" s="127"/>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row>
    <row r="20" spans="1:71" ht="13">
      <c r="A20" s="129"/>
      <c r="K20" s="1"/>
      <c r="O20" s="3"/>
    </row>
    <row r="21" spans="1:71" ht="13">
      <c r="A21" s="18"/>
      <c r="B21" s="24"/>
      <c r="C21" s="24"/>
      <c r="D21" s="24"/>
      <c r="E21" s="24"/>
      <c r="F21" s="24"/>
      <c r="G21" s="24"/>
      <c r="H21" s="24"/>
      <c r="I21" s="24"/>
      <c r="J21" s="24"/>
      <c r="K21" s="24"/>
      <c r="L21" s="24"/>
      <c r="M21" s="24"/>
      <c r="N21" s="24"/>
      <c r="O21" s="24"/>
      <c r="P21" s="24"/>
      <c r="Q21" s="25"/>
      <c r="R21" s="25"/>
      <c r="S21" s="25"/>
      <c r="T21" s="25"/>
      <c r="U21" s="24"/>
      <c r="V21" s="25"/>
      <c r="W21" s="25"/>
      <c r="X21" s="25"/>
      <c r="Y21" s="25"/>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row>
    <row r="22" spans="1:71" ht="13">
      <c r="A22" s="18"/>
      <c r="B22" s="24"/>
      <c r="C22" s="24"/>
      <c r="D22" s="24"/>
      <c r="E22" s="24"/>
      <c r="F22" s="24"/>
      <c r="G22" s="24"/>
      <c r="H22" s="24"/>
      <c r="I22" s="24"/>
      <c r="J22" s="24"/>
      <c r="K22" s="24"/>
      <c r="L22" s="24"/>
      <c r="M22" s="24"/>
      <c r="N22" s="24"/>
      <c r="O22" s="24"/>
      <c r="P22" s="24"/>
      <c r="Q22" s="25"/>
      <c r="R22" s="25"/>
      <c r="S22" s="25"/>
      <c r="T22" s="25"/>
      <c r="U22" s="24"/>
      <c r="V22" s="25"/>
      <c r="W22" s="25"/>
      <c r="X22" s="25"/>
      <c r="Y22" s="25"/>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row>
    <row r="23" spans="1:71" ht="13">
      <c r="A23" s="18"/>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row>
    <row r="24" spans="1:71">
      <c r="K24" s="1"/>
      <c r="O24" s="3"/>
    </row>
    <row r="25" spans="1:71" s="13" customFormat="1" ht="13">
      <c r="A25" s="129"/>
      <c r="B25" s="128"/>
      <c r="C25" s="128"/>
      <c r="D25" s="128"/>
      <c r="E25" s="128"/>
      <c r="F25" s="128"/>
      <c r="G25" s="128"/>
      <c r="H25" s="128"/>
      <c r="I25" s="128"/>
      <c r="J25" s="128"/>
      <c r="K25" s="128"/>
      <c r="L25" s="128"/>
      <c r="M25" s="128"/>
      <c r="N25" s="128"/>
      <c r="O25" s="128"/>
      <c r="P25" s="128"/>
      <c r="Q25" s="128"/>
      <c r="R25" s="120"/>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row>
    <row r="26" spans="1:71" s="18" customFormat="1" ht="13">
      <c r="B26" s="24"/>
      <c r="C26" s="24"/>
      <c r="D26" s="24"/>
      <c r="E26" s="24"/>
      <c r="F26" s="24"/>
      <c r="G26" s="25"/>
      <c r="H26" s="25"/>
      <c r="I26" s="25"/>
      <c r="J26" s="25"/>
      <c r="K26" s="24"/>
      <c r="L26" s="25"/>
      <c r="M26" s="25"/>
      <c r="N26" s="25"/>
      <c r="O26" s="25"/>
      <c r="P26" s="24"/>
      <c r="Q26" s="25"/>
      <c r="R26" s="25"/>
      <c r="S26" s="25"/>
      <c r="T26" s="25"/>
      <c r="U26" s="24"/>
      <c r="V26" s="25"/>
      <c r="W26" s="25"/>
      <c r="X26" s="25"/>
      <c r="Y26" s="25"/>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row>
    <row r="27" spans="1:71" s="18" customFormat="1" ht="13">
      <c r="B27" s="24"/>
      <c r="C27" s="24"/>
      <c r="D27" s="24"/>
      <c r="E27" s="24"/>
      <c r="F27" s="24"/>
      <c r="G27" s="25"/>
      <c r="H27" s="25"/>
      <c r="I27" s="25"/>
      <c r="J27" s="25"/>
      <c r="K27" s="24"/>
      <c r="L27" s="25"/>
      <c r="M27" s="25"/>
      <c r="N27" s="25"/>
      <c r="O27" s="25"/>
      <c r="P27" s="24"/>
      <c r="Q27" s="25"/>
      <c r="R27" s="25"/>
      <c r="S27" s="25"/>
      <c r="T27" s="25"/>
      <c r="U27" s="24"/>
      <c r="V27" s="25"/>
      <c r="W27" s="25"/>
      <c r="X27" s="25"/>
      <c r="Y27" s="25"/>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row>
    <row r="28" spans="1:71" s="18" customFormat="1" ht="13">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row>
    <row r="29" spans="1:71">
      <c r="K29" s="1"/>
      <c r="O29" s="3"/>
    </row>
    <row r="30" spans="1:71" s="13" customFormat="1" ht="13">
      <c r="A30" s="129"/>
      <c r="B30" s="128"/>
      <c r="C30" s="128"/>
      <c r="D30" s="128"/>
      <c r="E30" s="128"/>
      <c r="F30" s="128"/>
      <c r="G30" s="128"/>
      <c r="H30" s="128"/>
      <c r="I30" s="128"/>
      <c r="J30" s="128"/>
      <c r="K30" s="128"/>
      <c r="L30" s="128"/>
      <c r="M30" s="128"/>
      <c r="N30" s="128"/>
      <c r="O30" s="128"/>
      <c r="P30" s="128"/>
      <c r="Q30" s="128"/>
      <c r="R30" s="120"/>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row>
    <row r="31" spans="1:71" s="18" customFormat="1" ht="13">
      <c r="B31" s="115"/>
      <c r="C31" s="115"/>
      <c r="D31" s="115"/>
      <c r="E31" s="115"/>
      <c r="F31" s="115"/>
      <c r="G31" s="116"/>
      <c r="H31" s="116"/>
      <c r="I31" s="116"/>
      <c r="J31" s="116"/>
      <c r="K31" s="115"/>
      <c r="L31" s="115"/>
      <c r="M31" s="115"/>
      <c r="N31" s="115"/>
      <c r="O31" s="116"/>
      <c r="P31" s="115"/>
      <c r="Q31" s="115"/>
      <c r="R31" s="115"/>
      <c r="S31" s="115"/>
      <c r="T31" s="115"/>
      <c r="U31" s="115"/>
      <c r="V31" s="116"/>
      <c r="W31" s="116"/>
      <c r="X31" s="116"/>
      <c r="Y31" s="116"/>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row>
    <row r="32" spans="1:71" s="18" customFormat="1" ht="13">
      <c r="B32" s="133"/>
      <c r="C32" s="115"/>
      <c r="D32" s="115"/>
      <c r="E32" s="115"/>
      <c r="F32" s="115"/>
      <c r="G32" s="116"/>
      <c r="H32" s="116"/>
      <c r="I32" s="116"/>
      <c r="J32" s="116"/>
      <c r="K32" s="115"/>
      <c r="L32" s="115"/>
      <c r="M32" s="115"/>
      <c r="N32" s="115"/>
      <c r="O32" s="116"/>
      <c r="P32" s="115"/>
      <c r="Q32" s="115"/>
      <c r="R32" s="115"/>
      <c r="S32" s="115"/>
      <c r="T32" s="115"/>
      <c r="U32" s="115"/>
      <c r="V32" s="116"/>
      <c r="W32" s="116"/>
      <c r="X32" s="116"/>
      <c r="Y32" s="116"/>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row>
    <row r="33" spans="1:71" s="18" customFormat="1" ht="13">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row>
    <row r="34" spans="1:71" s="18" customFormat="1" ht="1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row>
    <row r="35" spans="1:71" s="13" customFormat="1" ht="13">
      <c r="A35" s="129"/>
      <c r="B35" s="128"/>
      <c r="C35" s="128"/>
      <c r="D35" s="128"/>
      <c r="E35" s="128"/>
      <c r="F35" s="128"/>
      <c r="G35" s="128"/>
      <c r="H35" s="128"/>
      <c r="I35" s="128"/>
      <c r="J35" s="128"/>
      <c r="K35" s="128"/>
      <c r="L35" s="128"/>
      <c r="M35" s="128"/>
      <c r="N35" s="128"/>
      <c r="O35" s="128"/>
      <c r="P35" s="128"/>
      <c r="Q35" s="128"/>
      <c r="R35" s="120"/>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row>
    <row r="36" spans="1:71" s="18" customFormat="1" ht="13">
      <c r="B36" s="24"/>
      <c r="C36" s="24"/>
      <c r="D36" s="24"/>
      <c r="E36" s="24"/>
      <c r="F36" s="24"/>
      <c r="G36" s="25"/>
      <c r="H36" s="25"/>
      <c r="I36" s="25"/>
      <c r="J36" s="25"/>
      <c r="K36" s="24"/>
      <c r="L36" s="25"/>
      <c r="M36" s="25"/>
      <c r="N36" s="25"/>
      <c r="O36" s="25"/>
      <c r="P36" s="24"/>
      <c r="Q36" s="25"/>
      <c r="R36" s="25"/>
      <c r="S36" s="25"/>
      <c r="T36" s="25"/>
      <c r="U36" s="24"/>
      <c r="V36" s="25"/>
      <c r="W36" s="25"/>
      <c r="X36" s="25"/>
      <c r="Y36" s="25"/>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row>
    <row r="37" spans="1:71" s="18" customFormat="1" ht="13">
      <c r="B37" s="24"/>
      <c r="C37" s="24"/>
      <c r="D37" s="24"/>
      <c r="E37" s="24"/>
      <c r="F37" s="24"/>
      <c r="G37" s="25"/>
      <c r="H37" s="25"/>
      <c r="I37" s="25"/>
      <c r="J37" s="25"/>
      <c r="K37" s="24"/>
      <c r="L37" s="25"/>
      <c r="M37" s="25"/>
      <c r="N37" s="25"/>
      <c r="O37" s="25"/>
      <c r="P37" s="24"/>
      <c r="Q37" s="25"/>
      <c r="R37" s="25"/>
      <c r="S37" s="25"/>
      <c r="T37" s="25"/>
      <c r="U37" s="24"/>
      <c r="V37" s="25"/>
      <c r="W37" s="25"/>
      <c r="X37" s="25"/>
      <c r="Y37" s="25"/>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row>
    <row r="38" spans="1:71" s="18" customFormat="1" ht="1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row>
    <row r="39" spans="1:71">
      <c r="O39" s="3"/>
    </row>
    <row r="40" spans="1:71" s="13" customFormat="1" ht="13">
      <c r="A40" s="129"/>
      <c r="B40" s="128"/>
      <c r="C40" s="128"/>
      <c r="D40" s="128"/>
      <c r="E40" s="128"/>
      <c r="F40" s="128"/>
      <c r="G40" s="128"/>
      <c r="H40" s="128"/>
      <c r="I40" s="128"/>
      <c r="J40" s="128"/>
      <c r="K40" s="128"/>
      <c r="L40" s="128"/>
      <c r="M40" s="128"/>
      <c r="N40" s="128"/>
      <c r="O40" s="128"/>
      <c r="P40" s="128"/>
      <c r="Q40" s="128"/>
      <c r="R40" s="120"/>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row>
    <row r="41" spans="1:71" s="18" customFormat="1" ht="13">
      <c r="B41" s="24"/>
      <c r="C41" s="24"/>
      <c r="D41" s="24"/>
      <c r="E41" s="24"/>
      <c r="F41" s="24"/>
      <c r="G41" s="25"/>
      <c r="H41" s="25"/>
      <c r="I41" s="25"/>
      <c r="J41" s="25"/>
      <c r="K41" s="24"/>
      <c r="L41" s="25"/>
      <c r="M41" s="25"/>
      <c r="N41" s="25"/>
      <c r="O41" s="25"/>
      <c r="P41" s="24"/>
      <c r="Q41" s="25"/>
      <c r="R41" s="25"/>
      <c r="S41" s="25"/>
      <c r="T41" s="25"/>
      <c r="U41" s="24"/>
      <c r="V41" s="25"/>
      <c r="W41" s="25"/>
      <c r="X41" s="25"/>
      <c r="Y41" s="25"/>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row>
    <row r="42" spans="1:71" s="18" customFormat="1" ht="13">
      <c r="B42" s="24"/>
      <c r="C42" s="24"/>
      <c r="D42" s="24"/>
      <c r="E42" s="24"/>
      <c r="F42" s="24"/>
      <c r="G42" s="25"/>
      <c r="H42" s="25"/>
      <c r="I42" s="25"/>
      <c r="J42" s="25"/>
      <c r="K42" s="24"/>
      <c r="L42" s="25"/>
      <c r="M42" s="25"/>
      <c r="N42" s="25"/>
      <c r="O42" s="25"/>
      <c r="P42" s="24"/>
      <c r="Q42" s="25"/>
      <c r="R42" s="25"/>
      <c r="S42" s="25"/>
      <c r="T42" s="25"/>
      <c r="U42" s="24"/>
      <c r="V42" s="25"/>
      <c r="W42" s="25"/>
      <c r="X42" s="25"/>
      <c r="Y42" s="25"/>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row>
    <row r="43" spans="1:71" s="18" customFormat="1" ht="1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row>
    <row r="44" spans="1:71">
      <c r="K44" s="1"/>
      <c r="O44" s="3"/>
    </row>
    <row r="45" spans="1:71" s="13" customFormat="1" ht="13">
      <c r="A45" s="129"/>
      <c r="B45" s="128"/>
      <c r="C45" s="128"/>
      <c r="D45" s="128"/>
      <c r="E45" s="128"/>
      <c r="F45" s="128"/>
      <c r="G45" s="128"/>
      <c r="H45" s="128"/>
      <c r="I45" s="128"/>
      <c r="J45" s="128"/>
      <c r="K45" s="128"/>
      <c r="L45" s="128"/>
      <c r="M45" s="128"/>
      <c r="N45" s="128"/>
      <c r="O45" s="128"/>
      <c r="P45" s="128"/>
      <c r="Q45" s="128"/>
      <c r="R45" s="120"/>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row>
    <row r="46" spans="1:71" s="18" customFormat="1" ht="13">
      <c r="B46" s="115"/>
      <c r="C46" s="115"/>
      <c r="D46" s="115"/>
      <c r="E46" s="115"/>
      <c r="F46" s="115"/>
      <c r="G46" s="116"/>
      <c r="H46" s="116"/>
      <c r="I46" s="116"/>
      <c r="J46" s="116"/>
      <c r="K46" s="115"/>
      <c r="L46" s="116"/>
      <c r="M46" s="116"/>
      <c r="N46" s="116"/>
      <c r="O46" s="116"/>
      <c r="P46" s="115"/>
      <c r="Q46" s="116"/>
      <c r="R46" s="116"/>
      <c r="S46" s="116"/>
      <c r="T46" s="116"/>
      <c r="U46" s="115"/>
      <c r="V46" s="116"/>
      <c r="W46" s="116"/>
      <c r="X46" s="116"/>
      <c r="Y46" s="116"/>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row>
    <row r="47" spans="1:71" s="18" customFormat="1" ht="13">
      <c r="B47" s="115"/>
      <c r="C47" s="115"/>
      <c r="D47" s="115"/>
      <c r="E47" s="115"/>
      <c r="F47" s="115"/>
      <c r="G47" s="116"/>
      <c r="H47" s="116"/>
      <c r="I47" s="116"/>
      <c r="J47" s="116"/>
      <c r="K47" s="115"/>
      <c r="L47" s="116"/>
      <c r="M47" s="116"/>
      <c r="N47" s="116"/>
      <c r="O47" s="116"/>
      <c r="P47" s="115"/>
      <c r="Q47" s="116"/>
      <c r="R47" s="116"/>
      <c r="S47" s="116"/>
      <c r="T47" s="116"/>
      <c r="U47" s="115"/>
      <c r="V47" s="116"/>
      <c r="W47" s="116"/>
      <c r="X47" s="116"/>
      <c r="Y47" s="116"/>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row>
    <row r="48" spans="1:71" s="18" customFormat="1" ht="13">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row>
    <row r="49" spans="1:71">
      <c r="K49" s="1"/>
      <c r="O49" s="3"/>
    </row>
    <row r="50" spans="1:71" s="13" customFormat="1" ht="13">
      <c r="A50" s="129"/>
      <c r="B50" s="128"/>
      <c r="C50" s="128"/>
      <c r="D50" s="128"/>
      <c r="E50" s="128"/>
      <c r="F50" s="128"/>
      <c r="G50" s="128"/>
      <c r="H50" s="128"/>
      <c r="I50" s="128"/>
      <c r="J50" s="128"/>
      <c r="K50" s="128"/>
      <c r="L50" s="128"/>
      <c r="M50" s="128"/>
      <c r="N50" s="128"/>
      <c r="O50" s="128"/>
      <c r="P50" s="128"/>
      <c r="Q50" s="128"/>
      <c r="R50" s="120"/>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row>
    <row r="51" spans="1:71" s="18" customFormat="1" ht="13">
      <c r="B51" s="24"/>
      <c r="C51" s="24"/>
      <c r="D51" s="24"/>
      <c r="E51" s="24"/>
      <c r="F51" s="24"/>
      <c r="G51" s="25"/>
      <c r="H51" s="25"/>
      <c r="I51" s="25"/>
      <c r="J51" s="25"/>
      <c r="K51" s="24"/>
      <c r="L51" s="25"/>
      <c r="M51" s="25"/>
      <c r="N51" s="25"/>
      <c r="O51" s="25"/>
      <c r="P51" s="24"/>
      <c r="Q51" s="25"/>
      <c r="R51" s="25"/>
      <c r="S51" s="25"/>
      <c r="T51" s="25"/>
      <c r="U51" s="24"/>
      <c r="V51" s="25"/>
      <c r="W51" s="25"/>
      <c r="X51" s="25"/>
      <c r="Y51" s="25"/>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row>
    <row r="52" spans="1:71" s="18" customFormat="1" ht="13">
      <c r="B52" s="24"/>
      <c r="C52" s="24"/>
      <c r="D52" s="24"/>
      <c r="E52" s="24"/>
      <c r="F52" s="24"/>
      <c r="G52" s="25"/>
      <c r="H52" s="25"/>
      <c r="I52" s="25"/>
      <c r="J52" s="25"/>
      <c r="K52" s="24"/>
      <c r="L52" s="25"/>
      <c r="M52" s="25"/>
      <c r="N52" s="25"/>
      <c r="O52" s="25"/>
      <c r="P52" s="24"/>
      <c r="Q52" s="25"/>
      <c r="R52" s="25"/>
      <c r="S52" s="25"/>
      <c r="T52" s="25"/>
      <c r="U52" s="24"/>
      <c r="V52" s="25"/>
      <c r="W52" s="25"/>
      <c r="X52" s="25"/>
      <c r="Y52" s="25"/>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row>
    <row r="53" spans="1:71" s="18" customFormat="1" ht="1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row>
    <row r="54" spans="1:71">
      <c r="O54" s="3"/>
    </row>
    <row r="55" spans="1:71" ht="13">
      <c r="A55" s="129"/>
      <c r="O55" s="3"/>
    </row>
    <row r="56" spans="1:71" ht="13">
      <c r="A56" s="18"/>
      <c r="B56" s="109"/>
      <c r="C56" s="109"/>
      <c r="D56" s="109"/>
      <c r="E56" s="109"/>
      <c r="F56" s="109"/>
      <c r="G56" s="110"/>
      <c r="H56" s="110"/>
      <c r="I56" s="110"/>
      <c r="J56" s="110"/>
      <c r="K56" s="109"/>
      <c r="L56" s="110"/>
      <c r="M56" s="110"/>
      <c r="N56" s="110"/>
      <c r="O56" s="110"/>
      <c r="P56" s="109"/>
      <c r="Q56" s="110"/>
      <c r="R56" s="110"/>
      <c r="S56" s="110"/>
      <c r="T56" s="110"/>
      <c r="U56" s="109"/>
      <c r="V56" s="110"/>
      <c r="W56" s="110"/>
      <c r="X56" s="110"/>
      <c r="Y56" s="110"/>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row>
    <row r="57" spans="1:71" ht="13">
      <c r="A57" s="18"/>
      <c r="B57" s="109"/>
      <c r="C57" s="109"/>
      <c r="D57" s="109"/>
      <c r="E57" s="109"/>
      <c r="F57" s="109"/>
      <c r="G57" s="110"/>
      <c r="H57" s="110"/>
      <c r="I57" s="110"/>
      <c r="J57" s="110"/>
      <c r="K57" s="109"/>
      <c r="L57" s="110"/>
      <c r="M57" s="110"/>
      <c r="N57" s="110"/>
      <c r="O57" s="110"/>
      <c r="P57" s="109"/>
      <c r="Q57" s="110"/>
      <c r="R57" s="110"/>
      <c r="S57" s="110"/>
      <c r="T57" s="110"/>
      <c r="U57" s="109"/>
      <c r="V57" s="110"/>
      <c r="W57" s="110"/>
      <c r="X57" s="110"/>
      <c r="Y57" s="110"/>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row>
    <row r="58" spans="1:71" ht="13">
      <c r="A58" s="18"/>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row>
    <row r="59" spans="1:71">
      <c r="O59" s="3"/>
    </row>
    <row r="60" spans="1:71" ht="13">
      <c r="A60" s="129"/>
      <c r="O60" s="3"/>
    </row>
    <row r="61" spans="1:71" ht="13">
      <c r="A61" s="18"/>
      <c r="B61" s="111"/>
      <c r="C61" s="111"/>
      <c r="D61" s="111"/>
      <c r="E61" s="111"/>
      <c r="F61" s="111"/>
      <c r="G61" s="112"/>
      <c r="H61" s="112"/>
      <c r="I61" s="112"/>
      <c r="J61" s="112"/>
      <c r="K61" s="111"/>
      <c r="L61" s="112"/>
      <c r="M61" s="112"/>
      <c r="N61" s="112"/>
      <c r="O61" s="112"/>
      <c r="P61" s="111"/>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row>
    <row r="62" spans="1:71" ht="13">
      <c r="A62" s="18"/>
      <c r="B62" s="111"/>
      <c r="C62" s="111"/>
      <c r="D62" s="111"/>
      <c r="E62" s="111"/>
      <c r="F62" s="111"/>
      <c r="G62" s="112"/>
      <c r="H62" s="112"/>
      <c r="I62" s="112"/>
      <c r="J62" s="112"/>
      <c r="K62" s="111"/>
      <c r="L62" s="112"/>
      <c r="M62" s="112"/>
      <c r="N62" s="112"/>
      <c r="O62" s="112"/>
      <c r="P62" s="111"/>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row>
    <row r="63" spans="1:71" ht="13">
      <c r="A63" s="18"/>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row>
  </sheetData>
  <phoneticPr fontId="0" type="noConversion"/>
  <pageMargins left="0.25" right="0.25" top="0.75" bottom="0.75" header="0.3" footer="0.3"/>
  <pageSetup scale="94" orientation="landscape" r:id="rId1"/>
  <headerFooter alignWithMargins="0">
    <oddFooter>Page &amp;P of &amp;N</oddFooter>
  </headerFooter>
  <colBreaks count="1" manualBreakCount="1">
    <brk id="14" max="50"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B3D9-EC8D-4282-ACB7-0A42F0740C21}">
  <sheetPr>
    <pageSetUpPr fitToPage="1"/>
  </sheetPr>
  <dimension ref="A1:BS63"/>
  <sheetViews>
    <sheetView showGridLines="0" workbookViewId="0">
      <pane xSplit="1" ySplit="5" topLeftCell="Z6" activePane="bottomRight" state="frozen"/>
      <selection pane="topRight" activeCell="B21" sqref="B21"/>
      <selection pane="bottomLeft" activeCell="B21" sqref="B21"/>
      <selection pane="bottomRight" activeCell="E16" sqref="E16"/>
    </sheetView>
  </sheetViews>
  <sheetFormatPr baseColWidth="10" defaultColWidth="9" defaultRowHeight="13" outlineLevelCol="1"/>
  <cols>
    <col min="1" max="1" width="27.59765625" bestFit="1" customWidth="1"/>
    <col min="2" max="2" width="12.19921875" style="1" bestFit="1" customWidth="1"/>
    <col min="3" max="3" width="12.59765625" style="1" bestFit="1" customWidth="1"/>
    <col min="4" max="4" width="12.19921875" style="1" bestFit="1" customWidth="1"/>
    <col min="5" max="6" width="12.59765625" style="1" bestFit="1" customWidth="1"/>
    <col min="7" max="7" width="11.59765625" style="3" hidden="1" customWidth="1" outlineLevel="1"/>
    <col min="8" max="9" width="12.19921875" style="3" hidden="1" customWidth="1" outlineLevel="1"/>
    <col min="10" max="10" width="12.59765625" style="3" hidden="1" customWidth="1" outlineLevel="1"/>
    <col min="11" max="11" width="12.59765625" style="3" bestFit="1" customWidth="1" collapsed="1"/>
    <col min="12" max="12" width="11.59765625" style="1" hidden="1" customWidth="1" outlineLevel="1"/>
    <col min="13" max="14" width="12.19921875" style="3" hidden="1" customWidth="1" outlineLevel="1"/>
    <col min="15" max="15" width="12.59765625" style="2" hidden="1" customWidth="1" outlineLevel="1"/>
    <col min="16" max="16" width="12.59765625" style="1" bestFit="1" customWidth="1" collapsed="1"/>
    <col min="17" max="17" width="11.59765625" style="1" hidden="1" customWidth="1" outlineLevel="1"/>
    <col min="18" max="19" width="12.19921875" style="1" hidden="1" customWidth="1" outlineLevel="1"/>
    <col min="20" max="20" width="12.59765625" style="1" hidden="1" customWidth="1" outlineLevel="1"/>
    <col min="21" max="21" width="12.59765625" style="1" bestFit="1" customWidth="1" collapsed="1"/>
    <col min="22" max="24" width="10.796875" style="1" hidden="1" customWidth="1" outlineLevel="1"/>
    <col min="25" max="25" width="12" style="1" hidden="1" customWidth="1" outlineLevel="1"/>
    <col min="26" max="26" width="12" style="1" bestFit="1" customWidth="1" collapsed="1"/>
    <col min="27" max="29" width="10.796875" style="1" hidden="1" customWidth="1" outlineLevel="1"/>
    <col min="30" max="30" width="12" style="1" hidden="1" customWidth="1" outlineLevel="1"/>
    <col min="31" max="31" width="12" style="1" bestFit="1" customWidth="1" collapsed="1"/>
    <col min="32" max="34" width="10.796875" style="1" hidden="1" customWidth="1" outlineLevel="1"/>
    <col min="35" max="35" width="12" style="1" hidden="1" customWidth="1" outlineLevel="1"/>
    <col min="36" max="36" width="12" style="1" bestFit="1" customWidth="1" collapsed="1"/>
    <col min="37" max="39" width="10.796875" style="1" hidden="1" customWidth="1" outlineLevel="1"/>
    <col min="40" max="40" width="12" style="1" hidden="1" customWidth="1" outlineLevel="1"/>
    <col min="41" max="41" width="12" style="1" bestFit="1" customWidth="1" collapsed="1"/>
    <col min="42" max="42" width="10.796875" style="1" hidden="1" customWidth="1" outlineLevel="1"/>
    <col min="43" max="43" width="15.3984375" style="1" hidden="1" customWidth="1" outlineLevel="1"/>
    <col min="44" max="44" width="10.796875" style="1" hidden="1" customWidth="1" outlineLevel="1"/>
    <col min="45" max="45" width="12" style="1" hidden="1" customWidth="1" outlineLevel="1"/>
    <col min="46" max="46" width="12" style="1" bestFit="1" customWidth="1" collapsed="1"/>
    <col min="47" max="47" width="10.796875" style="1" hidden="1" customWidth="1" outlineLevel="1"/>
    <col min="48" max="48" width="15.3984375" style="1" hidden="1" customWidth="1" outlineLevel="1"/>
    <col min="49" max="49" width="10.796875" style="1" hidden="1" customWidth="1" outlineLevel="1"/>
    <col min="50" max="50" width="12" style="1" hidden="1" customWidth="1" outlineLevel="1"/>
    <col min="51" max="51" width="12" style="1" bestFit="1" customWidth="1" collapsed="1"/>
    <col min="52" max="52" width="10.796875" style="1" hidden="1" customWidth="1" outlineLevel="1"/>
    <col min="53" max="53" width="15.3984375" style="1" hidden="1" customWidth="1" outlineLevel="1"/>
    <col min="54" max="54" width="10.796875" style="1" hidden="1" customWidth="1" outlineLevel="1"/>
    <col min="55" max="55" width="12" style="1" hidden="1" customWidth="1" outlineLevel="1"/>
    <col min="56" max="56" width="12" style="1" bestFit="1" customWidth="1" collapsed="1"/>
    <col min="57" max="57" width="10.796875" style="1" bestFit="1" customWidth="1" outlineLevel="1"/>
    <col min="58" max="59" width="15.3984375" style="1" bestFit="1" customWidth="1" outlineLevel="1"/>
    <col min="60" max="60" width="12" style="1" customWidth="1" outlineLevel="1"/>
    <col min="61" max="61" width="12" style="1" bestFit="1" customWidth="1"/>
    <col min="62" max="62" width="10.796875" style="1" bestFit="1" customWidth="1" outlineLevel="1"/>
    <col min="63" max="64" width="15.3984375" style="1" bestFit="1" customWidth="1" outlineLevel="1"/>
    <col min="65" max="65" width="15.59765625" style="1" bestFit="1" customWidth="1" outlineLevel="1"/>
    <col min="66" max="66" width="15.59765625" style="1" bestFit="1" customWidth="1"/>
    <col min="67" max="67" width="14.796875" style="1" bestFit="1" customWidth="1" outlineLevel="1"/>
    <col min="68" max="69" width="15.3984375" style="1" bestFit="1" customWidth="1" outlineLevel="1"/>
    <col min="70" max="70" width="15.59765625" style="1" bestFit="1" customWidth="1" outlineLevel="1"/>
    <col min="71" max="71" width="15.59765625" style="1" bestFit="1" customWidth="1"/>
  </cols>
  <sheetData>
    <row r="1" spans="1:71" ht="18">
      <c r="A1" s="12" t="str">
        <f>+'Summary Pg'!B1</f>
        <v>Name of Company</v>
      </c>
      <c r="B1" s="12"/>
      <c r="C1" s="12"/>
      <c r="D1" s="13"/>
      <c r="E1" s="12"/>
      <c r="F1" s="12"/>
      <c r="G1" s="14"/>
      <c r="H1" s="14"/>
      <c r="I1" s="14"/>
      <c r="J1" s="14"/>
      <c r="K1" s="14"/>
      <c r="L1" s="13"/>
      <c r="M1" s="14"/>
      <c r="N1" s="14"/>
      <c r="O1" s="15"/>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row>
    <row r="2" spans="1:71" ht="18">
      <c r="A2" s="16" t="s">
        <v>416</v>
      </c>
      <c r="B2" s="16"/>
      <c r="C2" s="16"/>
      <c r="D2" s="13"/>
      <c r="E2" s="12"/>
      <c r="F2" s="12"/>
      <c r="G2" s="14"/>
      <c r="H2" s="14"/>
      <c r="I2" s="14"/>
      <c r="J2" s="14"/>
      <c r="K2" s="14"/>
      <c r="L2" s="13"/>
      <c r="M2" s="14"/>
      <c r="N2" s="14"/>
      <c r="O2" s="15"/>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row>
    <row r="3" spans="1:71">
      <c r="B3" s="17"/>
      <c r="C3" s="17"/>
      <c r="D3" s="13"/>
      <c r="E3" s="17"/>
      <c r="F3" s="17"/>
      <c r="G3" s="14"/>
      <c r="H3" s="14"/>
      <c r="I3" s="14"/>
      <c r="J3" s="14"/>
      <c r="K3" s="14"/>
      <c r="L3" s="13"/>
      <c r="M3" s="14"/>
      <c r="N3" s="14"/>
      <c r="O3" s="15"/>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row>
    <row r="4" spans="1:71">
      <c r="B4" s="9" t="s">
        <v>134</v>
      </c>
      <c r="C4" s="9" t="s">
        <v>134</v>
      </c>
      <c r="D4" s="253" t="s">
        <v>134</v>
      </c>
      <c r="E4" s="253" t="s">
        <v>134</v>
      </c>
      <c r="F4" s="253" t="s">
        <v>134</v>
      </c>
      <c r="G4" s="634">
        <v>1</v>
      </c>
      <c r="H4" s="634">
        <v>2</v>
      </c>
      <c r="I4" s="634">
        <v>3</v>
      </c>
      <c r="J4" s="634">
        <v>4</v>
      </c>
      <c r="K4" s="253" t="s">
        <v>134</v>
      </c>
      <c r="L4" s="634">
        <v>1</v>
      </c>
      <c r="M4" s="634">
        <v>2</v>
      </c>
      <c r="N4" s="634">
        <v>3</v>
      </c>
      <c r="O4" s="634">
        <v>4</v>
      </c>
      <c r="P4" s="253" t="s">
        <v>134</v>
      </c>
      <c r="Q4" s="634">
        <v>1</v>
      </c>
      <c r="R4" s="634">
        <v>2</v>
      </c>
      <c r="S4" s="634">
        <v>3</v>
      </c>
      <c r="T4" s="634">
        <v>4</v>
      </c>
      <c r="U4" s="253" t="s">
        <v>134</v>
      </c>
      <c r="V4" s="634">
        <v>1</v>
      </c>
      <c r="W4" s="634">
        <v>2</v>
      </c>
      <c r="X4" s="634">
        <v>3</v>
      </c>
      <c r="Y4" s="634">
        <v>4</v>
      </c>
      <c r="Z4" s="253" t="s">
        <v>134</v>
      </c>
      <c r="AA4" s="634">
        <v>1</v>
      </c>
      <c r="AB4" s="634">
        <v>2</v>
      </c>
      <c r="AC4" s="634">
        <v>3</v>
      </c>
      <c r="AD4" s="634">
        <v>4</v>
      </c>
      <c r="AE4" s="253" t="s">
        <v>134</v>
      </c>
      <c r="AF4" s="634">
        <v>1</v>
      </c>
      <c r="AG4" s="634">
        <v>2</v>
      </c>
      <c r="AH4" s="634">
        <v>3</v>
      </c>
      <c r="AI4" s="634">
        <v>4</v>
      </c>
      <c r="AJ4" s="253" t="s">
        <v>134</v>
      </c>
      <c r="AK4" s="634">
        <v>1</v>
      </c>
      <c r="AL4" s="634">
        <v>2</v>
      </c>
      <c r="AM4" s="634">
        <v>3</v>
      </c>
      <c r="AN4" s="634">
        <v>4</v>
      </c>
      <c r="AO4" s="253" t="s">
        <v>134</v>
      </c>
      <c r="AP4" s="634">
        <v>1</v>
      </c>
      <c r="AQ4" s="634">
        <v>2</v>
      </c>
      <c r="AR4" s="634">
        <v>3</v>
      </c>
      <c r="AS4" s="634">
        <v>4</v>
      </c>
      <c r="AT4" s="253" t="s">
        <v>134</v>
      </c>
      <c r="AU4" s="634">
        <v>1</v>
      </c>
      <c r="AV4" s="634">
        <v>2</v>
      </c>
      <c r="AW4" s="634">
        <v>3</v>
      </c>
      <c r="AX4" s="634">
        <v>4</v>
      </c>
      <c r="AY4" s="253" t="s">
        <v>134</v>
      </c>
      <c r="AZ4" s="634">
        <v>1</v>
      </c>
      <c r="BA4" s="634">
        <v>2</v>
      </c>
      <c r="BB4" s="634">
        <v>3</v>
      </c>
      <c r="BC4" s="634">
        <v>4</v>
      </c>
      <c r="BD4" s="253" t="s">
        <v>134</v>
      </c>
      <c r="BE4" s="634">
        <v>1</v>
      </c>
      <c r="BF4" s="634">
        <v>2</v>
      </c>
      <c r="BG4" s="634">
        <v>3</v>
      </c>
      <c r="BH4" s="634">
        <v>4</v>
      </c>
      <c r="BI4" s="253" t="s">
        <v>134</v>
      </c>
      <c r="BJ4" s="634">
        <v>1</v>
      </c>
      <c r="BK4" s="635">
        <v>2</v>
      </c>
      <c r="BL4" s="635">
        <v>3</v>
      </c>
      <c r="BM4" s="635">
        <v>4</v>
      </c>
      <c r="BN4" s="361" t="s">
        <v>134</v>
      </c>
      <c r="BO4" s="635">
        <v>1</v>
      </c>
      <c r="BP4" s="635">
        <v>2</v>
      </c>
      <c r="BQ4" s="635">
        <v>3</v>
      </c>
      <c r="BR4" s="635">
        <v>4</v>
      </c>
      <c r="BS4" s="361" t="s">
        <v>134</v>
      </c>
    </row>
    <row r="5" spans="1:71">
      <c r="B5" s="11">
        <v>36525</v>
      </c>
      <c r="C5" s="11">
        <v>36891</v>
      </c>
      <c r="D5" s="639">
        <v>37256</v>
      </c>
      <c r="E5" s="639">
        <f>EOMONTH(D5,12)</f>
        <v>37621</v>
      </c>
      <c r="F5" s="639">
        <f>EOMONTH(E5,12)</f>
        <v>37986</v>
      </c>
      <c r="G5" s="123">
        <f>EOMONTH(F5,3)</f>
        <v>38077</v>
      </c>
      <c r="H5" s="123">
        <f>EOMONTH(G5,3)</f>
        <v>38168</v>
      </c>
      <c r="I5" s="123">
        <f>EOMONTH(H5,3)</f>
        <v>38260</v>
      </c>
      <c r="J5" s="123">
        <f>EOMONTH(I5,3)</f>
        <v>38352</v>
      </c>
      <c r="K5" s="639">
        <f>EOMONTH(F5,12)</f>
        <v>38352</v>
      </c>
      <c r="L5" s="123">
        <f>EOMONTH(K5,3)</f>
        <v>38442</v>
      </c>
      <c r="M5" s="123">
        <f>EOMONTH(L5,3)</f>
        <v>38533</v>
      </c>
      <c r="N5" s="123">
        <f>EOMONTH(M5,3)</f>
        <v>38625</v>
      </c>
      <c r="O5" s="123">
        <f>EOMONTH(N5,3)</f>
        <v>38717</v>
      </c>
      <c r="P5" s="639">
        <f>EOMONTH(K5,12)</f>
        <v>38717</v>
      </c>
      <c r="Q5" s="123">
        <f>EOMONTH(P5,3)</f>
        <v>38807</v>
      </c>
      <c r="R5" s="123">
        <f>EOMONTH(Q5,3)</f>
        <v>38898</v>
      </c>
      <c r="S5" s="123">
        <f>EOMONTH(R5,3)</f>
        <v>38990</v>
      </c>
      <c r="T5" s="123">
        <f>EOMONTH(S5,3)</f>
        <v>39082</v>
      </c>
      <c r="U5" s="639">
        <f>EOMONTH(P5,12)</f>
        <v>39082</v>
      </c>
      <c r="V5" s="123">
        <f>EOMONTH(U5,3)</f>
        <v>39172</v>
      </c>
      <c r="W5" s="123">
        <f>EOMONTH(V5,3)</f>
        <v>39263</v>
      </c>
      <c r="X5" s="123">
        <f>EOMONTH(W5,3)</f>
        <v>39355</v>
      </c>
      <c r="Y5" s="123">
        <f>EOMONTH(X5,3)</f>
        <v>39447</v>
      </c>
      <c r="Z5" s="639">
        <f>+Y5</f>
        <v>39447</v>
      </c>
      <c r="AA5" s="123">
        <f>EOMONTH(Z5,3)</f>
        <v>39538</v>
      </c>
      <c r="AB5" s="123">
        <f>EOMONTH(AA5,3)</f>
        <v>39629</v>
      </c>
      <c r="AC5" s="123">
        <f>EOMONTH(AB5,3)</f>
        <v>39721</v>
      </c>
      <c r="AD5" s="123">
        <f>EOMONTH(AC5,3)</f>
        <v>39813</v>
      </c>
      <c r="AE5" s="639">
        <f>+AD5</f>
        <v>39813</v>
      </c>
      <c r="AF5" s="123">
        <f>EOMONTH(AE5,3)</f>
        <v>39903</v>
      </c>
      <c r="AG5" s="123">
        <f>EOMONTH(AF5,3)</f>
        <v>39994</v>
      </c>
      <c r="AH5" s="123">
        <f>EOMONTH(AG5,3)</f>
        <v>40086</v>
      </c>
      <c r="AI5" s="123">
        <f>EOMONTH(AH5,3)</f>
        <v>40178</v>
      </c>
      <c r="AJ5" s="639">
        <f>+AI5</f>
        <v>40178</v>
      </c>
      <c r="AK5" s="123">
        <f>EOMONTH(AJ5,3)</f>
        <v>40268</v>
      </c>
      <c r="AL5" s="123">
        <f>EOMONTH(AK5,3)</f>
        <v>40359</v>
      </c>
      <c r="AM5" s="123">
        <f>EOMONTH(AL5,3)</f>
        <v>40451</v>
      </c>
      <c r="AN5" s="123">
        <f>EOMONTH(AM5,3)</f>
        <v>40543</v>
      </c>
      <c r="AO5" s="639">
        <f>+AN5</f>
        <v>40543</v>
      </c>
      <c r="AP5" s="123">
        <f>EOMONTH(AO5,3)</f>
        <v>40633</v>
      </c>
      <c r="AQ5" s="123">
        <f>EOMONTH(AP5,3)</f>
        <v>40724</v>
      </c>
      <c r="AR5" s="123">
        <f>EOMONTH(AQ5,3)</f>
        <v>40816</v>
      </c>
      <c r="AS5" s="123">
        <f>EOMONTH(AR5,3)</f>
        <v>40908</v>
      </c>
      <c r="AT5" s="639">
        <f>+AS5</f>
        <v>40908</v>
      </c>
      <c r="AU5" s="123">
        <f>EOMONTH(AT5,3)</f>
        <v>40999</v>
      </c>
      <c r="AV5" s="123">
        <f>EOMONTH(AU5,3)</f>
        <v>41090</v>
      </c>
      <c r="AW5" s="123">
        <f>EOMONTH(AV5,3)</f>
        <v>41182</v>
      </c>
      <c r="AX5" s="123">
        <f>EOMONTH(AW5,3)</f>
        <v>41274</v>
      </c>
      <c r="AY5" s="639">
        <f>+AX5</f>
        <v>41274</v>
      </c>
      <c r="AZ5" s="123">
        <f>EOMONTH(AY5,3)</f>
        <v>41364</v>
      </c>
      <c r="BA5" s="123">
        <f>EOMONTH(AZ5,3)</f>
        <v>41455</v>
      </c>
      <c r="BB5" s="123">
        <f>EOMONTH(BA5,3)</f>
        <v>41547</v>
      </c>
      <c r="BC5" s="123">
        <f>EOMONTH(BB5,3)</f>
        <v>41639</v>
      </c>
      <c r="BD5" s="639">
        <f>+BC5</f>
        <v>41639</v>
      </c>
      <c r="BE5" s="123">
        <f>EOMONTH(BD5,3)</f>
        <v>41729</v>
      </c>
      <c r="BF5" s="123">
        <f>EOMONTH(BE5,3)</f>
        <v>41820</v>
      </c>
      <c r="BG5" s="123">
        <f>EOMONTH(BF5,3)</f>
        <v>41912</v>
      </c>
      <c r="BH5" s="123">
        <f>EOMONTH(BG5,3)</f>
        <v>42004</v>
      </c>
      <c r="BI5" s="639">
        <f>+BH5</f>
        <v>42004</v>
      </c>
      <c r="BJ5" s="123">
        <f>EOMONTH(BI5,3)</f>
        <v>42094</v>
      </c>
      <c r="BK5" s="362">
        <f>EOMONTH(BJ5,3)</f>
        <v>42185</v>
      </c>
      <c r="BL5" s="362">
        <f>EOMONTH(BK5,3)</f>
        <v>42277</v>
      </c>
      <c r="BM5" s="362">
        <f>EOMONTH(BL5,3)</f>
        <v>42369</v>
      </c>
      <c r="BN5" s="363">
        <f>+BM5</f>
        <v>42369</v>
      </c>
      <c r="BO5" s="362">
        <f>EOMONTH(BN5,3)</f>
        <v>42460</v>
      </c>
      <c r="BP5" s="362">
        <f>EOMONTH(BO5,3)</f>
        <v>42551</v>
      </c>
      <c r="BQ5" s="362">
        <f>EOMONTH(BP5,3)</f>
        <v>42643</v>
      </c>
      <c r="BR5" s="362">
        <f>EOMONTH(BQ5,3)</f>
        <v>42735</v>
      </c>
      <c r="BS5" s="363">
        <f>+BR5</f>
        <v>42735</v>
      </c>
    </row>
    <row r="6" spans="1:71" s="19" customFormat="1">
      <c r="B6" s="121"/>
      <c r="C6" s="121"/>
      <c r="D6" s="121"/>
      <c r="E6" s="121"/>
      <c r="F6" s="121"/>
      <c r="G6" s="121"/>
      <c r="H6" s="121"/>
      <c r="I6" s="121"/>
      <c r="J6" s="121"/>
      <c r="K6" s="121"/>
      <c r="L6" s="121"/>
      <c r="M6" s="121"/>
      <c r="N6" s="121"/>
      <c r="O6" s="121"/>
      <c r="P6" s="121"/>
      <c r="Q6" s="121"/>
      <c r="R6" s="3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row>
    <row r="7" spans="1:71" s="19" customFormat="1">
      <c r="A7" s="23"/>
      <c r="B7" s="113"/>
      <c r="C7" s="113"/>
      <c r="D7" s="113"/>
      <c r="E7" s="113"/>
      <c r="F7" s="113"/>
      <c r="G7" s="114"/>
      <c r="H7" s="114"/>
      <c r="I7" s="114"/>
      <c r="J7" s="114"/>
      <c r="K7" s="113"/>
      <c r="L7" s="114"/>
      <c r="M7" s="114"/>
      <c r="N7" s="114"/>
      <c r="O7" s="114"/>
      <c r="P7" s="113"/>
      <c r="Q7" s="114"/>
      <c r="R7" s="114"/>
      <c r="S7" s="114"/>
      <c r="T7" s="114"/>
      <c r="U7" s="113"/>
      <c r="V7" s="114"/>
      <c r="W7" s="114"/>
      <c r="X7" s="114"/>
      <c r="Y7" s="114"/>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row>
    <row r="8" spans="1:71" s="19" customFormat="1">
      <c r="A8" s="23"/>
      <c r="B8" s="41"/>
      <c r="C8" s="41"/>
      <c r="D8" s="41"/>
      <c r="E8" s="41"/>
      <c r="F8" s="41"/>
      <c r="G8" s="134"/>
      <c r="H8" s="134"/>
      <c r="I8" s="134"/>
      <c r="J8" s="134"/>
      <c r="K8" s="41"/>
      <c r="L8" s="134"/>
      <c r="M8" s="134"/>
      <c r="N8" s="134"/>
      <c r="O8" s="134"/>
      <c r="P8" s="41"/>
      <c r="Q8" s="134"/>
      <c r="R8" s="134"/>
      <c r="S8" s="134"/>
      <c r="T8" s="134"/>
      <c r="U8" s="41"/>
      <c r="V8" s="134"/>
      <c r="W8" s="134"/>
      <c r="X8" s="134"/>
      <c r="Y8" s="134"/>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row>
    <row r="9" spans="1:71" s="19" customFormat="1">
      <c r="A9" s="23"/>
      <c r="B9" s="43"/>
      <c r="C9" s="43"/>
      <c r="D9" s="43"/>
      <c r="E9" s="43"/>
      <c r="F9" s="43"/>
      <c r="G9" s="135"/>
      <c r="H9" s="135"/>
      <c r="I9" s="135"/>
      <c r="J9" s="135"/>
      <c r="K9" s="43"/>
      <c r="L9" s="135"/>
      <c r="M9" s="135"/>
      <c r="N9" s="135"/>
      <c r="O9" s="135"/>
      <c r="P9" s="43"/>
      <c r="Q9" s="135"/>
      <c r="R9" s="135"/>
      <c r="S9" s="135"/>
      <c r="T9" s="135"/>
      <c r="U9" s="43"/>
      <c r="V9" s="135"/>
      <c r="W9" s="135"/>
      <c r="X9" s="135"/>
      <c r="Y9" s="135"/>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row>
    <row r="10" spans="1:71" s="19" customFormat="1">
      <c r="A10" s="23"/>
      <c r="B10" s="41">
        <f>SUM(B8:B9)</f>
        <v>0</v>
      </c>
      <c r="C10" s="41">
        <f t="shared" ref="C10:AJ10" si="0">SUM(C8:C9)</f>
        <v>0</v>
      </c>
      <c r="D10" s="41">
        <f t="shared" si="0"/>
        <v>0</v>
      </c>
      <c r="E10" s="41">
        <f t="shared" si="0"/>
        <v>0</v>
      </c>
      <c r="F10" s="41">
        <f t="shared" si="0"/>
        <v>0</v>
      </c>
      <c r="G10" s="41">
        <f t="shared" si="0"/>
        <v>0</v>
      </c>
      <c r="H10" s="41">
        <f t="shared" si="0"/>
        <v>0</v>
      </c>
      <c r="I10" s="41">
        <f t="shared" si="0"/>
        <v>0</v>
      </c>
      <c r="J10" s="41">
        <f t="shared" si="0"/>
        <v>0</v>
      </c>
      <c r="K10" s="41">
        <f t="shared" si="0"/>
        <v>0</v>
      </c>
      <c r="L10" s="41">
        <f t="shared" si="0"/>
        <v>0</v>
      </c>
      <c r="M10" s="41">
        <f t="shared" si="0"/>
        <v>0</v>
      </c>
      <c r="N10" s="41">
        <f t="shared" si="0"/>
        <v>0</v>
      </c>
      <c r="O10" s="41">
        <f t="shared" si="0"/>
        <v>0</v>
      </c>
      <c r="P10" s="41">
        <f t="shared" si="0"/>
        <v>0</v>
      </c>
      <c r="Q10" s="41">
        <f t="shared" si="0"/>
        <v>0</v>
      </c>
      <c r="R10" s="41">
        <f t="shared" si="0"/>
        <v>0</v>
      </c>
      <c r="S10" s="41">
        <f t="shared" si="0"/>
        <v>0</v>
      </c>
      <c r="T10" s="41">
        <f t="shared" si="0"/>
        <v>0</v>
      </c>
      <c r="U10" s="41">
        <f t="shared" si="0"/>
        <v>0</v>
      </c>
      <c r="V10" s="41">
        <f t="shared" si="0"/>
        <v>0</v>
      </c>
      <c r="W10" s="41">
        <f t="shared" si="0"/>
        <v>0</v>
      </c>
      <c r="X10" s="41">
        <f t="shared" si="0"/>
        <v>0</v>
      </c>
      <c r="Y10" s="41">
        <f t="shared" si="0"/>
        <v>0</v>
      </c>
      <c r="Z10" s="41">
        <f t="shared" si="0"/>
        <v>0</v>
      </c>
      <c r="AA10" s="41"/>
      <c r="AB10" s="41"/>
      <c r="AC10" s="41"/>
      <c r="AD10" s="41"/>
      <c r="AE10" s="41">
        <f t="shared" si="0"/>
        <v>0</v>
      </c>
      <c r="AF10" s="41"/>
      <c r="AG10" s="41"/>
      <c r="AH10" s="41"/>
      <c r="AI10" s="41"/>
      <c r="AJ10" s="41">
        <f t="shared" si="0"/>
        <v>0</v>
      </c>
      <c r="AK10" s="41"/>
      <c r="AL10" s="41"/>
      <c r="AM10" s="41"/>
      <c r="AN10" s="41"/>
      <c r="AO10" s="41">
        <f>SUM(AO8:AO9)</f>
        <v>0</v>
      </c>
      <c r="AP10" s="41"/>
      <c r="AQ10" s="41"/>
      <c r="AR10" s="41"/>
      <c r="AS10" s="41"/>
      <c r="AT10" s="41">
        <f>SUM(AT8:AT9)</f>
        <v>0</v>
      </c>
      <c r="AU10" s="41"/>
      <c r="AV10" s="41"/>
      <c r="AW10" s="41"/>
      <c r="AX10" s="41"/>
      <c r="AY10" s="41">
        <f>SUM(AY8:AY9)</f>
        <v>0</v>
      </c>
      <c r="AZ10" s="41"/>
      <c r="BA10" s="41"/>
      <c r="BB10" s="41"/>
      <c r="BC10" s="41"/>
      <c r="BD10" s="41">
        <f>SUM(BD8:BD9)</f>
        <v>0</v>
      </c>
      <c r="BE10" s="41"/>
      <c r="BF10" s="41"/>
      <c r="BG10" s="41"/>
      <c r="BH10" s="41"/>
      <c r="BI10" s="41">
        <f>SUM(BI8:BI9)</f>
        <v>0</v>
      </c>
      <c r="BJ10" s="41"/>
      <c r="BK10" s="41"/>
      <c r="BL10" s="41"/>
      <c r="BM10" s="41"/>
      <c r="BN10" s="41">
        <f>SUM(BN8:BN9)</f>
        <v>0</v>
      </c>
      <c r="BO10" s="41"/>
      <c r="BP10" s="41"/>
      <c r="BQ10" s="41"/>
      <c r="BR10" s="41"/>
      <c r="BS10" s="41">
        <f>SUM(BS8:BS9)</f>
        <v>0</v>
      </c>
    </row>
    <row r="11" spans="1:71" s="19" customFormat="1">
      <c r="B11" s="41"/>
      <c r="C11" s="41"/>
      <c r="D11" s="41"/>
      <c r="E11" s="41"/>
      <c r="F11" s="41"/>
      <c r="G11" s="134"/>
      <c r="H11" s="134"/>
      <c r="I11" s="134"/>
      <c r="J11" s="134"/>
      <c r="K11" s="41"/>
      <c r="L11" s="134"/>
      <c r="M11" s="134"/>
      <c r="N11" s="134"/>
      <c r="O11" s="134"/>
      <c r="P11" s="41"/>
      <c r="Q11" s="134"/>
      <c r="R11" s="134"/>
      <c r="S11" s="134"/>
      <c r="T11" s="134"/>
      <c r="U11" s="41"/>
      <c r="V11" s="134"/>
      <c r="W11" s="134"/>
      <c r="X11" s="134"/>
      <c r="Y11" s="134"/>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row>
    <row r="12" spans="1:71" s="19" customFormat="1">
      <c r="A12" s="23"/>
      <c r="B12" s="24"/>
      <c r="C12" s="24"/>
      <c r="D12" s="24"/>
      <c r="E12" s="24"/>
      <c r="F12" s="24"/>
      <c r="G12" s="25"/>
      <c r="H12" s="25"/>
      <c r="I12" s="25"/>
      <c r="J12" s="25"/>
      <c r="K12" s="24"/>
      <c r="L12" s="25"/>
      <c r="M12" s="25"/>
      <c r="N12" s="25"/>
      <c r="O12" s="25"/>
      <c r="P12" s="24"/>
      <c r="Q12" s="25"/>
      <c r="R12" s="25"/>
      <c r="S12" s="25"/>
      <c r="T12" s="25"/>
      <c r="U12" s="24"/>
      <c r="V12" s="25"/>
      <c r="W12" s="25"/>
      <c r="X12" s="25"/>
      <c r="Y12" s="25"/>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row>
    <row r="13" spans="1:71" s="19" customFormat="1">
      <c r="A13" s="23"/>
      <c r="B13" s="113"/>
      <c r="C13" s="113"/>
      <c r="D13" s="113"/>
      <c r="E13" s="113"/>
      <c r="F13" s="113"/>
      <c r="G13" s="114"/>
      <c r="H13" s="114"/>
      <c r="I13" s="114"/>
      <c r="J13" s="114"/>
      <c r="K13" s="113"/>
      <c r="L13" s="114"/>
      <c r="M13" s="114"/>
      <c r="N13" s="114"/>
      <c r="O13" s="114"/>
      <c r="P13" s="113"/>
      <c r="Q13" s="114"/>
      <c r="R13" s="114"/>
      <c r="S13" s="114"/>
      <c r="T13" s="114"/>
      <c r="U13" s="113"/>
      <c r="V13" s="114"/>
      <c r="W13" s="114"/>
      <c r="X13" s="114"/>
      <c r="Y13" s="114"/>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row>
    <row r="14" spans="1:71" s="19" customFormat="1">
      <c r="A14" s="23"/>
      <c r="B14" s="24"/>
      <c r="C14" s="24"/>
      <c r="D14" s="24"/>
      <c r="E14" s="24"/>
      <c r="F14" s="24"/>
      <c r="G14" s="25"/>
      <c r="H14" s="25"/>
      <c r="I14" s="25"/>
      <c r="J14" s="25"/>
      <c r="K14" s="24"/>
      <c r="L14" s="25"/>
      <c r="M14" s="25"/>
      <c r="N14" s="25"/>
      <c r="O14" s="25"/>
      <c r="P14" s="24"/>
      <c r="Q14" s="25"/>
      <c r="R14" s="25"/>
      <c r="S14" s="25"/>
      <c r="T14" s="25"/>
      <c r="U14" s="24"/>
      <c r="V14" s="25"/>
      <c r="W14" s="25"/>
      <c r="X14" s="25"/>
      <c r="Y14" s="25"/>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row>
    <row r="15" spans="1:71" s="19" customFormat="1">
      <c r="B15" s="24"/>
      <c r="C15" s="24"/>
      <c r="D15" s="24"/>
      <c r="E15" s="24"/>
      <c r="F15" s="24"/>
      <c r="G15" s="25"/>
      <c r="H15" s="25"/>
      <c r="I15" s="25"/>
      <c r="J15" s="25"/>
      <c r="K15" s="24"/>
      <c r="L15" s="25"/>
      <c r="M15" s="25"/>
      <c r="N15" s="25"/>
      <c r="O15" s="25"/>
      <c r="P15" s="24"/>
      <c r="Q15" s="25"/>
      <c r="R15" s="25"/>
      <c r="S15" s="25"/>
      <c r="T15" s="25"/>
      <c r="U15" s="24"/>
      <c r="V15" s="25"/>
      <c r="W15" s="25"/>
      <c r="X15" s="25"/>
      <c r="Y15" s="25"/>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row>
    <row r="16" spans="1:71" s="19" customFormat="1">
      <c r="B16" s="24"/>
      <c r="C16" s="24"/>
      <c r="D16" s="24"/>
      <c r="E16" s="24"/>
      <c r="F16" s="24"/>
      <c r="G16" s="25"/>
      <c r="H16" s="25"/>
      <c r="I16" s="25"/>
      <c r="J16" s="25"/>
      <c r="K16" s="24"/>
      <c r="L16" s="25"/>
      <c r="M16" s="25"/>
      <c r="N16" s="25"/>
      <c r="O16" s="25"/>
      <c r="P16" s="24"/>
      <c r="Q16" s="25"/>
      <c r="R16" s="25"/>
      <c r="S16" s="25"/>
      <c r="T16" s="25"/>
      <c r="U16" s="24"/>
      <c r="V16" s="25"/>
      <c r="W16" s="25"/>
      <c r="X16" s="25"/>
      <c r="Y16" s="25"/>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row>
    <row r="17" spans="2:71">
      <c r="B17" s="24"/>
      <c r="C17" s="24"/>
      <c r="D17" s="24"/>
      <c r="E17" s="24"/>
      <c r="F17" s="24"/>
      <c r="G17" s="25"/>
      <c r="H17" s="25"/>
      <c r="I17" s="25"/>
      <c r="J17" s="25"/>
      <c r="K17" s="24"/>
      <c r="L17" s="25"/>
      <c r="M17" s="25"/>
      <c r="N17" s="25"/>
      <c r="O17" s="25"/>
      <c r="P17" s="24"/>
      <c r="Q17" s="25"/>
      <c r="R17" s="25"/>
      <c r="S17" s="25"/>
      <c r="T17" s="25"/>
      <c r="U17" s="24"/>
      <c r="V17" s="25"/>
      <c r="W17" s="25"/>
      <c r="X17" s="25"/>
      <c r="Y17" s="25"/>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row>
    <row r="18" spans="2:71">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row>
    <row r="19" spans="2:71">
      <c r="K19" s="1"/>
      <c r="L19" s="3"/>
      <c r="O19" s="3"/>
      <c r="Q19" s="3"/>
      <c r="R19" s="132"/>
      <c r="S19" s="132"/>
      <c r="T19" s="132"/>
      <c r="U19" s="132"/>
      <c r="V19" s="127"/>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row>
    <row r="20" spans="2:71">
      <c r="K20" s="1"/>
      <c r="O20" s="3"/>
    </row>
    <row r="21" spans="2:71">
      <c r="B21" s="24"/>
      <c r="C21" s="24"/>
      <c r="D21" s="24"/>
      <c r="E21" s="24"/>
      <c r="F21" s="24"/>
      <c r="G21" s="24"/>
      <c r="H21" s="24"/>
      <c r="I21" s="24"/>
      <c r="J21" s="24"/>
      <c r="K21" s="24"/>
      <c r="L21" s="24"/>
      <c r="M21" s="24"/>
      <c r="N21" s="24"/>
      <c r="O21" s="24"/>
      <c r="P21" s="24"/>
      <c r="Q21" s="25"/>
      <c r="R21" s="25"/>
      <c r="S21" s="25"/>
      <c r="T21" s="25"/>
      <c r="U21" s="24"/>
      <c r="V21" s="25"/>
      <c r="W21" s="25"/>
      <c r="X21" s="25"/>
      <c r="Y21" s="25"/>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row>
    <row r="22" spans="2:71">
      <c r="B22" s="24"/>
      <c r="C22" s="24"/>
      <c r="D22" s="24"/>
      <c r="E22" s="24"/>
      <c r="F22" s="24"/>
      <c r="G22" s="24"/>
      <c r="H22" s="24"/>
      <c r="I22" s="24"/>
      <c r="J22" s="24"/>
      <c r="K22" s="24"/>
      <c r="L22" s="24"/>
      <c r="M22" s="24"/>
      <c r="N22" s="24"/>
      <c r="O22" s="24"/>
      <c r="P22" s="24"/>
      <c r="Q22" s="25"/>
      <c r="R22" s="25"/>
      <c r="S22" s="25"/>
      <c r="T22" s="25"/>
      <c r="U22" s="24"/>
      <c r="V22" s="25"/>
      <c r="W22" s="25"/>
      <c r="X22" s="25"/>
      <c r="Y22" s="25"/>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row>
    <row r="23" spans="2:71">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row>
    <row r="24" spans="2:71">
      <c r="K24" s="1"/>
      <c r="O24" s="3"/>
    </row>
    <row r="25" spans="2:71">
      <c r="B25" s="128"/>
      <c r="C25" s="128"/>
      <c r="D25" s="128"/>
      <c r="E25" s="128"/>
      <c r="F25" s="128"/>
      <c r="G25" s="128"/>
      <c r="H25" s="128"/>
      <c r="I25" s="128"/>
      <c r="J25" s="128"/>
      <c r="K25" s="128"/>
      <c r="L25" s="128"/>
      <c r="M25" s="128"/>
      <c r="N25" s="128"/>
      <c r="O25" s="128"/>
      <c r="P25" s="128"/>
      <c r="Q25" s="128"/>
      <c r="R25" s="120"/>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row>
    <row r="26" spans="2:71">
      <c r="B26" s="24"/>
      <c r="C26" s="24"/>
      <c r="D26" s="24"/>
      <c r="E26" s="24"/>
      <c r="F26" s="24"/>
      <c r="G26" s="25"/>
      <c r="H26" s="25"/>
      <c r="I26" s="25"/>
      <c r="J26" s="25"/>
      <c r="K26" s="24"/>
      <c r="L26" s="25"/>
      <c r="M26" s="25"/>
      <c r="N26" s="25"/>
      <c r="O26" s="25"/>
      <c r="P26" s="24"/>
      <c r="Q26" s="25"/>
      <c r="R26" s="25"/>
      <c r="S26" s="25"/>
      <c r="T26" s="25"/>
      <c r="U26" s="24"/>
      <c r="V26" s="25"/>
      <c r="W26" s="25"/>
      <c r="X26" s="25"/>
      <c r="Y26" s="25"/>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row>
    <row r="27" spans="2:71">
      <c r="B27" s="24"/>
      <c r="C27" s="24"/>
      <c r="D27" s="24"/>
      <c r="E27" s="24"/>
      <c r="F27" s="24"/>
      <c r="G27" s="25"/>
      <c r="H27" s="25"/>
      <c r="I27" s="25"/>
      <c r="J27" s="25"/>
      <c r="K27" s="24"/>
      <c r="L27" s="25"/>
      <c r="M27" s="25"/>
      <c r="N27" s="25"/>
      <c r="O27" s="25"/>
      <c r="P27" s="24"/>
      <c r="Q27" s="25"/>
      <c r="R27" s="25"/>
      <c r="S27" s="25"/>
      <c r="T27" s="25"/>
      <c r="U27" s="24"/>
      <c r="V27" s="25"/>
      <c r="W27" s="25"/>
      <c r="X27" s="25"/>
      <c r="Y27" s="25"/>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row>
    <row r="28" spans="2:71">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row>
    <row r="29" spans="2:71">
      <c r="K29" s="1"/>
      <c r="O29" s="3"/>
    </row>
    <row r="30" spans="2:71">
      <c r="B30" s="128"/>
      <c r="C30" s="128"/>
      <c r="D30" s="128"/>
      <c r="E30" s="128"/>
      <c r="F30" s="128"/>
      <c r="G30" s="128"/>
      <c r="H30" s="128"/>
      <c r="I30" s="128"/>
      <c r="J30" s="128"/>
      <c r="K30" s="128"/>
      <c r="L30" s="128"/>
      <c r="M30" s="128"/>
      <c r="N30" s="128"/>
      <c r="O30" s="128"/>
      <c r="P30" s="128"/>
      <c r="Q30" s="128"/>
      <c r="R30" s="120"/>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row>
    <row r="31" spans="2:71">
      <c r="B31" s="115"/>
      <c r="C31" s="115"/>
      <c r="D31" s="115"/>
      <c r="E31" s="115"/>
      <c r="F31" s="115"/>
      <c r="G31" s="116"/>
      <c r="H31" s="116"/>
      <c r="I31" s="116"/>
      <c r="J31" s="116"/>
      <c r="K31" s="115"/>
      <c r="L31" s="115"/>
      <c r="M31" s="115"/>
      <c r="N31" s="115"/>
      <c r="O31" s="116"/>
      <c r="P31" s="115"/>
      <c r="Q31" s="115"/>
      <c r="R31" s="115"/>
      <c r="S31" s="115"/>
      <c r="T31" s="115"/>
      <c r="U31" s="115"/>
      <c r="V31" s="116"/>
      <c r="W31" s="116"/>
      <c r="X31" s="116"/>
      <c r="Y31" s="116"/>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row>
    <row r="32" spans="2:71">
      <c r="B32" s="133"/>
      <c r="C32" s="115"/>
      <c r="D32" s="115"/>
      <c r="E32" s="115"/>
      <c r="F32" s="115"/>
      <c r="G32" s="116"/>
      <c r="H32" s="116"/>
      <c r="I32" s="116"/>
      <c r="J32" s="116"/>
      <c r="K32" s="115"/>
      <c r="L32" s="115"/>
      <c r="M32" s="115"/>
      <c r="N32" s="115"/>
      <c r="O32" s="116"/>
      <c r="P32" s="115"/>
      <c r="Q32" s="115"/>
      <c r="R32" s="115"/>
      <c r="S32" s="115"/>
      <c r="T32" s="115"/>
      <c r="U32" s="115"/>
      <c r="V32" s="116"/>
      <c r="W32" s="116"/>
      <c r="X32" s="116"/>
      <c r="Y32" s="116"/>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row>
    <row r="33" spans="2:71">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row>
    <row r="34" spans="2:71">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row>
    <row r="35" spans="2:71">
      <c r="B35" s="128"/>
      <c r="C35" s="128"/>
      <c r="D35" s="128"/>
      <c r="E35" s="128"/>
      <c r="F35" s="128"/>
      <c r="G35" s="128"/>
      <c r="H35" s="128"/>
      <c r="I35" s="128"/>
      <c r="J35" s="128"/>
      <c r="K35" s="128"/>
      <c r="L35" s="128"/>
      <c r="M35" s="128"/>
      <c r="N35" s="128"/>
      <c r="O35" s="128"/>
      <c r="P35" s="128"/>
      <c r="Q35" s="128"/>
      <c r="R35" s="120"/>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row>
    <row r="36" spans="2:71">
      <c r="B36" s="24"/>
      <c r="C36" s="24"/>
      <c r="D36" s="24"/>
      <c r="E36" s="24"/>
      <c r="F36" s="24"/>
      <c r="G36" s="25"/>
      <c r="H36" s="25"/>
      <c r="I36" s="25"/>
      <c r="J36" s="25"/>
      <c r="K36" s="24"/>
      <c r="L36" s="25"/>
      <c r="M36" s="25"/>
      <c r="N36" s="25"/>
      <c r="O36" s="25"/>
      <c r="P36" s="24"/>
      <c r="Q36" s="25"/>
      <c r="R36" s="25"/>
      <c r="S36" s="25"/>
      <c r="T36" s="25"/>
      <c r="U36" s="24"/>
      <c r="V36" s="25"/>
      <c r="W36" s="25"/>
      <c r="X36" s="25"/>
      <c r="Y36" s="25"/>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row>
    <row r="37" spans="2:71">
      <c r="B37" s="24"/>
      <c r="C37" s="24"/>
      <c r="D37" s="24"/>
      <c r="E37" s="24"/>
      <c r="F37" s="24"/>
      <c r="G37" s="25"/>
      <c r="H37" s="25"/>
      <c r="I37" s="25"/>
      <c r="J37" s="25"/>
      <c r="K37" s="24"/>
      <c r="L37" s="25"/>
      <c r="M37" s="25"/>
      <c r="N37" s="25"/>
      <c r="O37" s="25"/>
      <c r="P37" s="24"/>
      <c r="Q37" s="25"/>
      <c r="R37" s="25"/>
      <c r="S37" s="25"/>
      <c r="T37" s="25"/>
      <c r="U37" s="24"/>
      <c r="V37" s="25"/>
      <c r="W37" s="25"/>
      <c r="X37" s="25"/>
      <c r="Y37" s="25"/>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row>
    <row r="38" spans="2:71">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row>
    <row r="39" spans="2:71">
      <c r="O39" s="3"/>
    </row>
    <row r="40" spans="2:71">
      <c r="B40" s="128"/>
      <c r="C40" s="128"/>
      <c r="D40" s="128"/>
      <c r="E40" s="128"/>
      <c r="F40" s="128"/>
      <c r="G40" s="128"/>
      <c r="H40" s="128"/>
      <c r="I40" s="128"/>
      <c r="J40" s="128"/>
      <c r="K40" s="128"/>
      <c r="L40" s="128"/>
      <c r="M40" s="128"/>
      <c r="N40" s="128"/>
      <c r="O40" s="128"/>
      <c r="P40" s="128"/>
      <c r="Q40" s="128"/>
      <c r="R40" s="120"/>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row>
    <row r="41" spans="2:71">
      <c r="B41" s="24"/>
      <c r="C41" s="24"/>
      <c r="D41" s="24"/>
      <c r="E41" s="24"/>
      <c r="F41" s="24"/>
      <c r="G41" s="25"/>
      <c r="H41" s="25"/>
      <c r="I41" s="25"/>
      <c r="J41" s="25"/>
      <c r="K41" s="24"/>
      <c r="L41" s="25"/>
      <c r="M41" s="25"/>
      <c r="N41" s="25"/>
      <c r="O41" s="25"/>
      <c r="P41" s="24"/>
      <c r="Q41" s="25"/>
      <c r="R41" s="25"/>
      <c r="S41" s="25"/>
      <c r="T41" s="25"/>
      <c r="U41" s="24"/>
      <c r="V41" s="25"/>
      <c r="W41" s="25"/>
      <c r="X41" s="25"/>
      <c r="Y41" s="25"/>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row>
    <row r="42" spans="2:71">
      <c r="B42" s="24"/>
      <c r="C42" s="24"/>
      <c r="D42" s="24"/>
      <c r="E42" s="24"/>
      <c r="F42" s="24"/>
      <c r="G42" s="25"/>
      <c r="H42" s="25"/>
      <c r="I42" s="25"/>
      <c r="J42" s="25"/>
      <c r="K42" s="24"/>
      <c r="L42" s="25"/>
      <c r="M42" s="25"/>
      <c r="N42" s="25"/>
      <c r="O42" s="25"/>
      <c r="P42" s="24"/>
      <c r="Q42" s="25"/>
      <c r="R42" s="25"/>
      <c r="S42" s="25"/>
      <c r="T42" s="25"/>
      <c r="U42" s="24"/>
      <c r="V42" s="25"/>
      <c r="W42" s="25"/>
      <c r="X42" s="25"/>
      <c r="Y42" s="25"/>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row>
    <row r="43" spans="2:71">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row>
    <row r="44" spans="2:71">
      <c r="K44" s="1"/>
      <c r="O44" s="3"/>
    </row>
    <row r="45" spans="2:71">
      <c r="B45" s="128"/>
      <c r="C45" s="128"/>
      <c r="D45" s="128"/>
      <c r="E45" s="128"/>
      <c r="F45" s="128"/>
      <c r="G45" s="128"/>
      <c r="H45" s="128"/>
      <c r="I45" s="128"/>
      <c r="J45" s="128"/>
      <c r="K45" s="128"/>
      <c r="L45" s="128"/>
      <c r="M45" s="128"/>
      <c r="N45" s="128"/>
      <c r="O45" s="128"/>
      <c r="P45" s="128"/>
      <c r="Q45" s="128"/>
      <c r="R45" s="120"/>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row>
    <row r="46" spans="2:71">
      <c r="B46" s="115"/>
      <c r="C46" s="115"/>
      <c r="D46" s="115"/>
      <c r="E46" s="115"/>
      <c r="F46" s="115"/>
      <c r="G46" s="116"/>
      <c r="H46" s="116"/>
      <c r="I46" s="116"/>
      <c r="J46" s="116"/>
      <c r="K46" s="115"/>
      <c r="L46" s="116"/>
      <c r="M46" s="116"/>
      <c r="N46" s="116"/>
      <c r="O46" s="116"/>
      <c r="P46" s="115"/>
      <c r="Q46" s="116"/>
      <c r="R46" s="116"/>
      <c r="S46" s="116"/>
      <c r="T46" s="116"/>
      <c r="U46" s="115"/>
      <c r="V46" s="116"/>
      <c r="W46" s="116"/>
      <c r="X46" s="116"/>
      <c r="Y46" s="116"/>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row>
    <row r="47" spans="2:71">
      <c r="B47" s="115"/>
      <c r="C47" s="115"/>
      <c r="D47" s="115"/>
      <c r="E47" s="115"/>
      <c r="F47" s="115"/>
      <c r="G47" s="116"/>
      <c r="H47" s="116"/>
      <c r="I47" s="116"/>
      <c r="J47" s="116"/>
      <c r="K47" s="115"/>
      <c r="L47" s="116"/>
      <c r="M47" s="116"/>
      <c r="N47" s="116"/>
      <c r="O47" s="116"/>
      <c r="P47" s="115"/>
      <c r="Q47" s="116"/>
      <c r="R47" s="116"/>
      <c r="S47" s="116"/>
      <c r="T47" s="116"/>
      <c r="U47" s="115"/>
      <c r="V47" s="116"/>
      <c r="W47" s="116"/>
      <c r="X47" s="116"/>
      <c r="Y47" s="116"/>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row>
    <row r="48" spans="2:71">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row>
    <row r="49" spans="2:71">
      <c r="K49" s="1"/>
      <c r="O49" s="3"/>
    </row>
    <row r="50" spans="2:71">
      <c r="B50" s="128"/>
      <c r="C50" s="128"/>
      <c r="D50" s="128"/>
      <c r="E50" s="128"/>
      <c r="F50" s="128"/>
      <c r="G50" s="128"/>
      <c r="H50" s="128"/>
      <c r="I50" s="128"/>
      <c r="J50" s="128"/>
      <c r="K50" s="128"/>
      <c r="L50" s="128"/>
      <c r="M50" s="128"/>
      <c r="N50" s="128"/>
      <c r="O50" s="128"/>
      <c r="P50" s="128"/>
      <c r="Q50" s="128"/>
      <c r="R50" s="120"/>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row>
    <row r="51" spans="2:71">
      <c r="B51" s="24"/>
      <c r="C51" s="24"/>
      <c r="D51" s="24"/>
      <c r="E51" s="24"/>
      <c r="F51" s="24"/>
      <c r="G51" s="25"/>
      <c r="H51" s="25"/>
      <c r="I51" s="25"/>
      <c r="J51" s="25"/>
      <c r="K51" s="24"/>
      <c r="L51" s="25"/>
      <c r="M51" s="25"/>
      <c r="N51" s="25"/>
      <c r="O51" s="25"/>
      <c r="P51" s="24"/>
      <c r="Q51" s="25"/>
      <c r="R51" s="25"/>
      <c r="S51" s="25"/>
      <c r="T51" s="25"/>
      <c r="U51" s="24"/>
      <c r="V51" s="25"/>
      <c r="W51" s="25"/>
      <c r="X51" s="25"/>
      <c r="Y51" s="25"/>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row>
    <row r="52" spans="2:71">
      <c r="B52" s="24"/>
      <c r="C52" s="24"/>
      <c r="D52" s="24"/>
      <c r="E52" s="24"/>
      <c r="F52" s="24"/>
      <c r="G52" s="25"/>
      <c r="H52" s="25"/>
      <c r="I52" s="25"/>
      <c r="J52" s="25"/>
      <c r="K52" s="24"/>
      <c r="L52" s="25"/>
      <c r="M52" s="25"/>
      <c r="N52" s="25"/>
      <c r="O52" s="25"/>
      <c r="P52" s="24"/>
      <c r="Q52" s="25"/>
      <c r="R52" s="25"/>
      <c r="S52" s="25"/>
      <c r="T52" s="25"/>
      <c r="U52" s="24"/>
      <c r="V52" s="25"/>
      <c r="W52" s="25"/>
      <c r="X52" s="25"/>
      <c r="Y52" s="25"/>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row>
    <row r="53" spans="2:71">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row>
    <row r="54" spans="2:71">
      <c r="O54" s="3"/>
    </row>
    <row r="55" spans="2:71">
      <c r="O55" s="3"/>
    </row>
    <row r="56" spans="2:71">
      <c r="B56" s="109"/>
      <c r="C56" s="109"/>
      <c r="D56" s="109"/>
      <c r="E56" s="109"/>
      <c r="F56" s="109"/>
      <c r="G56" s="110"/>
      <c r="H56" s="110"/>
      <c r="I56" s="110"/>
      <c r="J56" s="110"/>
      <c r="K56" s="109"/>
      <c r="L56" s="110"/>
      <c r="M56" s="110"/>
      <c r="N56" s="110"/>
      <c r="O56" s="110"/>
      <c r="P56" s="109"/>
      <c r="Q56" s="110"/>
      <c r="R56" s="110"/>
      <c r="S56" s="110"/>
      <c r="T56" s="110"/>
      <c r="U56" s="109"/>
      <c r="V56" s="110"/>
      <c r="W56" s="110"/>
      <c r="X56" s="110"/>
      <c r="Y56" s="110"/>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row>
    <row r="57" spans="2:71">
      <c r="B57" s="109"/>
      <c r="C57" s="109"/>
      <c r="D57" s="109"/>
      <c r="E57" s="109"/>
      <c r="F57" s="109"/>
      <c r="G57" s="110"/>
      <c r="H57" s="110"/>
      <c r="I57" s="110"/>
      <c r="J57" s="110"/>
      <c r="K57" s="109"/>
      <c r="L57" s="110"/>
      <c r="M57" s="110"/>
      <c r="N57" s="110"/>
      <c r="O57" s="110"/>
      <c r="P57" s="109"/>
      <c r="Q57" s="110"/>
      <c r="R57" s="110"/>
      <c r="S57" s="110"/>
      <c r="T57" s="110"/>
      <c r="U57" s="109"/>
      <c r="V57" s="110"/>
      <c r="W57" s="110"/>
      <c r="X57" s="110"/>
      <c r="Y57" s="110"/>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row>
    <row r="58" spans="2:71">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row>
    <row r="59" spans="2:71">
      <c r="O59" s="3"/>
    </row>
    <row r="60" spans="2:71">
      <c r="O60" s="3"/>
    </row>
    <row r="61" spans="2:71">
      <c r="B61" s="111"/>
      <c r="C61" s="111"/>
      <c r="D61" s="111"/>
      <c r="E61" s="111"/>
      <c r="F61" s="111"/>
      <c r="G61" s="112"/>
      <c r="H61" s="112"/>
      <c r="I61" s="112"/>
      <c r="J61" s="112"/>
      <c r="K61" s="111"/>
      <c r="L61" s="112"/>
      <c r="M61" s="112"/>
      <c r="N61" s="112"/>
      <c r="O61" s="112"/>
      <c r="P61" s="111"/>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row>
    <row r="62" spans="2:71">
      <c r="B62" s="111"/>
      <c r="C62" s="111"/>
      <c r="D62" s="111"/>
      <c r="E62" s="111"/>
      <c r="F62" s="111"/>
      <c r="G62" s="112"/>
      <c r="H62" s="112"/>
      <c r="I62" s="112"/>
      <c r="J62" s="112"/>
      <c r="K62" s="111"/>
      <c r="L62" s="112"/>
      <c r="M62" s="112"/>
      <c r="N62" s="112"/>
      <c r="O62" s="112"/>
      <c r="P62" s="111"/>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row>
    <row r="63" spans="2:7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row>
  </sheetData>
  <phoneticPr fontId="32" type="noConversion"/>
  <pageMargins left="0.25" right="0.25" top="0.75" bottom="0.75" header="0.3" footer="0.3"/>
  <pageSetup orientation="landscape" r:id="rId1"/>
  <headerFooter alignWithMargins="0">
    <oddFoote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1261-BBD1-40D5-9B8E-7BC568F42717}">
  <sheetPr>
    <pageSetUpPr fitToPage="1"/>
  </sheetPr>
  <dimension ref="A1:A2"/>
  <sheetViews>
    <sheetView zoomScale="75" workbookViewId="0">
      <selection activeCell="D53" sqref="D53"/>
    </sheetView>
  </sheetViews>
  <sheetFormatPr baseColWidth="10" defaultColWidth="9.3984375" defaultRowHeight="13"/>
  <cols>
    <col min="1" max="1" width="34.3984375" style="20" bestFit="1" customWidth="1"/>
    <col min="2" max="2" width="9.3984375" style="20"/>
    <col min="3" max="3" width="18" style="20" bestFit="1" customWidth="1"/>
    <col min="4" max="4" width="9.3984375" style="20"/>
    <col min="5" max="5" width="18.19921875" style="20" bestFit="1" customWidth="1"/>
    <col min="6" max="6" width="9.3984375" style="20"/>
    <col min="7" max="7" width="14.19921875" style="20" bestFit="1" customWidth="1"/>
    <col min="8" max="8" width="9.3984375" style="20"/>
    <col min="9" max="9" width="20" style="20" bestFit="1" customWidth="1"/>
    <col min="10" max="16384" width="9.3984375" style="20"/>
  </cols>
  <sheetData>
    <row r="1" spans="1:1" ht="20">
      <c r="A1" s="35" t="str">
        <f>+'Summary Pg'!$B$1</f>
        <v>Name of Company</v>
      </c>
    </row>
    <row r="2" spans="1:1">
      <c r="A2" s="21" t="s">
        <v>417</v>
      </c>
    </row>
  </sheetData>
  <phoneticPr fontId="32" type="noConversion"/>
  <pageMargins left="0.25" right="0.25" top="0.75" bottom="0.75" header="0.3" footer="0.3"/>
  <pageSetup orientation="portrait" r:id="rId1"/>
  <headerFooter alignWithMargins="0">
    <oddFoote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2A08-655F-4665-B75C-4134B877F06A}">
  <sheetPr>
    <pageSetUpPr fitToPage="1"/>
  </sheetPr>
  <dimension ref="A1:A2"/>
  <sheetViews>
    <sheetView zoomScale="75" workbookViewId="0">
      <selection activeCell="C62" sqref="C62"/>
    </sheetView>
  </sheetViews>
  <sheetFormatPr baseColWidth="10" defaultColWidth="31" defaultRowHeight="13"/>
  <cols>
    <col min="1" max="1" width="30.19921875" style="20" customWidth="1"/>
    <col min="2" max="2" width="2.3984375" style="20" bestFit="1" customWidth="1"/>
    <col min="3" max="3" width="45.3984375" style="20" bestFit="1" customWidth="1"/>
    <col min="4" max="4" width="3.3984375" style="20" bestFit="1" customWidth="1"/>
    <col min="5" max="5" width="41" style="20" bestFit="1" customWidth="1"/>
    <col min="6" max="16384" width="31" style="20"/>
  </cols>
  <sheetData>
    <row r="1" spans="1:1" ht="20">
      <c r="A1" s="35" t="str">
        <f>+'Summary Pg'!$B$1</f>
        <v>Name of Company</v>
      </c>
    </row>
    <row r="2" spans="1:1" ht="20">
      <c r="A2" s="35" t="s">
        <v>418</v>
      </c>
    </row>
  </sheetData>
  <phoneticPr fontId="32" type="noConversion"/>
  <pageMargins left="0.25" right="0.25" top="0.75" bottom="0.75" header="0.3" footer="0.3"/>
  <pageSetup orientation="portrait" r:id="rId1"/>
  <headerFooter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INSTRUCTIONS</vt:lpstr>
      <vt:lpstr>Summary Pg</vt:lpstr>
      <vt:lpstr>Model</vt:lpstr>
      <vt:lpstr>Segment</vt:lpstr>
      <vt:lpstr>Debt Detail</vt:lpstr>
      <vt:lpstr>Notes</vt:lpstr>
      <vt:lpstr>Bullets</vt:lpstr>
      <vt:lpstr>Mgmt</vt:lpstr>
      <vt:lpstr>Structure</vt:lpstr>
      <vt:lpstr>Incur Covs</vt:lpstr>
      <vt:lpstr>Main Covs</vt:lpstr>
      <vt:lpstr>DCF</vt:lpstr>
      <vt:lpstr>SOP</vt:lpstr>
      <vt:lpstr>M&amp;A</vt:lpstr>
      <vt:lpstr>Geographic</vt:lpstr>
      <vt:lpstr>Customers</vt:lpstr>
      <vt:lpstr>Products</vt:lpstr>
      <vt:lpstr>Facilities</vt:lpstr>
      <vt:lpstr>'Debt Detail'!Print_Area</vt:lpstr>
      <vt:lpstr>Geographic!Print_Area</vt:lpstr>
      <vt:lpstr>'Incur Covs'!Print_Area</vt:lpstr>
      <vt:lpstr>INSTRUCTIONS!Print_Area</vt:lpstr>
      <vt:lpstr>Model!Print_Area</vt:lpstr>
      <vt:lpstr>Segment!Print_Area</vt:lpstr>
      <vt:lpstr>Structure!Print_Area</vt:lpstr>
      <vt:lpstr>'Summary Pg'!Print_Area</vt:lpstr>
      <vt:lpstr>INSTRUCTIONS!Print_Titles</vt:lpstr>
      <vt:lpstr>Model!Print_Titles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Tooley</dc:creator>
  <cp:keywords/>
  <dc:description/>
  <cp:lastModifiedBy>Robert Tooley</cp:lastModifiedBy>
  <cp:revision/>
  <dcterms:created xsi:type="dcterms:W3CDTF">2003-07-31T16:47:32Z</dcterms:created>
  <dcterms:modified xsi:type="dcterms:W3CDTF">2026-03-02T17:11:57Z</dcterms:modified>
  <cp:category/>
  <cp:contentStatus/>
</cp:coreProperties>
</file>